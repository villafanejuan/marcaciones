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c0c616d298d8e4/Área de Trabalho/experimento/Marcaciones/salidas/"/>
    </mc:Choice>
  </mc:AlternateContent>
  <xr:revisionPtr revIDLastSave="1" documentId="11_3B41475738E92CA3E44C536313723DAC1EB43DF9" xr6:coauthVersionLast="47" xr6:coauthVersionMax="47" xr10:uidLastSave="{361AC3F1-870D-46FB-8802-922F5BA3C392}"/>
  <bookViews>
    <workbookView xWindow="-108" yWindow="-108" windowWidth="23256" windowHeight="12456" firstSheet="7" activeTab="10" xr2:uid="{00000000-000D-0000-FFFF-FFFF00000000}"/>
  </bookViews>
  <sheets>
    <sheet name="5 COMIDA" sheetId="2" r:id="rId1"/>
    <sheet name="PROGRAMACION 17-09" sheetId="3" r:id="rId2"/>
    <sheet name="PROGRAMACION 19-11" sheetId="4" r:id="rId3"/>
    <sheet name="PROGRAMACION 24-11" sheetId="5" r:id="rId4"/>
    <sheet name="PROGRAMACION 01-12" sheetId="6" r:id="rId5"/>
    <sheet name="PROGRAMACION 03-12" sheetId="7" r:id="rId6"/>
    <sheet name="PROGRAMACION 08-12" sheetId="8" r:id="rId7"/>
    <sheet name="PROGRAMACION 15-12" sheetId="9" r:id="rId8"/>
    <sheet name="PROGRAMACION SIN MARCACION" sheetId="10" r:id="rId9"/>
    <sheet name="Cristo Luz " sheetId="1" r:id="rId10"/>
    <sheet name="Barco" sheetId="11" r:id="rId11"/>
    <sheet name="Beto Carrero" sheetId="12" r:id="rId12"/>
    <sheet name="Cascata Carolina" sheetId="13" r:id="rId13"/>
    <sheet name="Multiparque" sheetId="14" r:id="rId14"/>
    <sheet name="Panam Sport" sheetId="15" r:id="rId15"/>
    <sheet name="Rueda" sheetId="16" r:id="rId16"/>
    <sheet name="Teleferico" sheetId="17" r:id="rId17"/>
    <sheet name="Zacarias" sheetId="18" r:id="rId18"/>
    <sheet name="COLEGIOS MAESTRO" sheetId="19" r:id="rId19"/>
  </sheets>
  <calcPr calcId="191029"/>
</workbook>
</file>

<file path=xl/calcChain.xml><?xml version="1.0" encoding="utf-8"?>
<calcChain xmlns="http://schemas.openxmlformats.org/spreadsheetml/2006/main">
  <c r="K67" i="18" l="1"/>
  <c r="K34" i="18"/>
  <c r="K10" i="18"/>
  <c r="K4" i="18"/>
  <c r="K3" i="18"/>
  <c r="K71" i="17"/>
  <c r="K69" i="17"/>
  <c r="K36" i="17"/>
  <c r="K35" i="17"/>
  <c r="K11" i="17"/>
  <c r="K5" i="17"/>
  <c r="K4" i="17"/>
  <c r="K3" i="17"/>
  <c r="K71" i="16"/>
  <c r="K38" i="16"/>
  <c r="K36" i="16"/>
  <c r="K11" i="16"/>
  <c r="K5" i="16"/>
  <c r="K4" i="16"/>
  <c r="K3" i="16"/>
  <c r="K4" i="15"/>
  <c r="K3" i="15"/>
  <c r="K3" i="14"/>
  <c r="K66" i="13"/>
  <c r="K33" i="13"/>
  <c r="K9" i="13"/>
  <c r="K3" i="13"/>
  <c r="K71" i="12"/>
  <c r="K36" i="12"/>
  <c r="K35" i="12"/>
  <c r="K11" i="12"/>
  <c r="K5" i="12"/>
  <c r="K4" i="12"/>
  <c r="K3" i="12"/>
  <c r="K71" i="11"/>
  <c r="K38" i="11"/>
  <c r="K36" i="11"/>
  <c r="K35" i="11"/>
  <c r="K11" i="11"/>
  <c r="K4" i="11"/>
  <c r="K3" i="11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H325" i="2" s="1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H297" i="2" s="1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H269" i="2" s="1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H241" i="2" s="1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H208" i="2" s="1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H173" i="2" s="1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H140" i="2" s="1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H105" i="2" s="1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H80" i="2" s="1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H55" i="2" s="1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H31" i="2" s="1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H7" i="2" s="1"/>
  <c r="H6" i="2"/>
  <c r="F6" i="2"/>
  <c r="H5" i="2"/>
  <c r="F5" i="2"/>
  <c r="F4" i="2"/>
  <c r="H4" i="2" s="1"/>
  <c r="K64" i="1"/>
  <c r="K31" i="1"/>
  <c r="K29" i="1"/>
  <c r="K5" i="1"/>
  <c r="K4" i="1"/>
  <c r="K3" i="1"/>
</calcChain>
</file>

<file path=xl/sharedStrings.xml><?xml version="1.0" encoding="utf-8"?>
<sst xmlns="http://schemas.openxmlformats.org/spreadsheetml/2006/main" count="3249" uniqueCount="498">
  <si>
    <t>CRISTO LUZ - CAMBORIU - 2026/2027</t>
  </si>
  <si>
    <t>COLEGIO</t>
  </si>
  <si>
    <t xml:space="preserve">ALUNOS </t>
  </si>
  <si>
    <t>ADULTOS</t>
  </si>
  <si>
    <t>TOAL</t>
  </si>
  <si>
    <t>GUIA</t>
  </si>
  <si>
    <t>HOTEL</t>
  </si>
  <si>
    <t xml:space="preserve">HORARIO </t>
  </si>
  <si>
    <t xml:space="preserve">DATA </t>
  </si>
  <si>
    <t>TOTAL
P/DIA</t>
  </si>
  <si>
    <t>The Antofagasta British School Generacion Terceros Medios</t>
  </si>
  <si>
    <t>Hotel D´Sintra</t>
  </si>
  <si>
    <t>Colegio Liahona 2 MEDIO</t>
  </si>
  <si>
    <t>Hotel H</t>
  </si>
  <si>
    <t>Juan Pablo Segundo 3 º C</t>
  </si>
  <si>
    <t>04/12 y 07/12</t>
  </si>
  <si>
    <t>1° Colegio Árabe Viña 1°</t>
  </si>
  <si>
    <t>Colegio San Nicolas de Maipú III B</t>
  </si>
  <si>
    <t>Mayor de Tobalaba Tercero C</t>
  </si>
  <si>
    <t>The English Institute Terceros medios A. C. D y E</t>
  </si>
  <si>
    <t>Juan Pablo Segundo 3° A</t>
  </si>
  <si>
    <t>Generacional Instituto Chacabuco 2°C</t>
  </si>
  <si>
    <t>Colegio San Lucas Evangelista Tercero Medio</t>
  </si>
  <si>
    <t>Hotel HM</t>
  </si>
  <si>
    <t>Colegio Juan Pablo Segundo 3°B</t>
  </si>
  <si>
    <t>Colegio San Agustin 2026 II</t>
  </si>
  <si>
    <t>Colegio Republica de Siria II D</t>
  </si>
  <si>
    <t>Mayor de Peñalolen Tercero D</t>
  </si>
  <si>
    <t>Bradford School Terceros medios A. B y C</t>
  </si>
  <si>
    <t>Colegio Netland School 2° D</t>
  </si>
  <si>
    <t>Colegio Quimahue 2a 2A</t>
  </si>
  <si>
    <t>Colegio Panamerican College II B</t>
  </si>
  <si>
    <t>Ruiz Tagle 2026 III A</t>
  </si>
  <si>
    <t>Sunvalley College 2°</t>
  </si>
  <si>
    <t>Colegio San Esteban 3° B</t>
  </si>
  <si>
    <t>Hotel Rieger</t>
  </si>
  <si>
    <t>The Angel´s School Generación Tercero medio</t>
  </si>
  <si>
    <t>Hotel Brut</t>
  </si>
  <si>
    <t>Colegio Leonardo D Vinci Tercero Medio</t>
  </si>
  <si>
    <t>Colegio Saint Dominics School 3a / Viaja En 3ero 3°A</t>
  </si>
  <si>
    <t>Colegio Saint Dominics School 3°b /  / Viajan En 3 3°B</t>
  </si>
  <si>
    <t>Colegio Saint Dominics School 3°c /  / Viaja En 3 3°C</t>
  </si>
  <si>
    <t>Liceo Augusto D`halmar 4to D</t>
  </si>
  <si>
    <t>Liceo Augusto D`halmar 4to C</t>
  </si>
  <si>
    <t>San Patricio 2º A</t>
  </si>
  <si>
    <t>11/12 y 14/12</t>
  </si>
  <si>
    <t>American British Tercero E</t>
  </si>
  <si>
    <t>Saint James 1 MEDIO</t>
  </si>
  <si>
    <t>Academia Nahuel Paine 2C</t>
  </si>
  <si>
    <t>Colegio Hispano Britanico 3ºC</t>
  </si>
  <si>
    <t>Hispano Britanico 2º A</t>
  </si>
  <si>
    <t>Colegio Hispano Britanico 2ºD</t>
  </si>
  <si>
    <t>Hispano Britanico 3°B</t>
  </si>
  <si>
    <t>Mayor de Tobalaba Tercero B</t>
  </si>
  <si>
    <t>Colegio Bosque de Arauco 2026 III</t>
  </si>
  <si>
    <t>San Patricio 2 ° B</t>
  </si>
  <si>
    <t>Colegio Sagrados Corazones III C</t>
  </si>
  <si>
    <t>Colegio Altomonte 2°A</t>
  </si>
  <si>
    <t>Colegio Lirima Terceros Medios</t>
  </si>
  <si>
    <t>Pedro de Valdivia de Providencia Tercero A</t>
  </si>
  <si>
    <t>Colegio Concepcion San Pedro III A</t>
  </si>
  <si>
    <t>Colegio Concepcion San Pedro III B</t>
  </si>
  <si>
    <t>Colegio Altomonte Generacional 2°B</t>
  </si>
  <si>
    <t>American British Tercero D</t>
  </si>
  <si>
    <t>Colegio Carmen Teresiano 2026 1ero medio</t>
  </si>
  <si>
    <t>Instituto Lasalle la Florida 2 A 2a</t>
  </si>
  <si>
    <t>Colegio San Luis 3° B</t>
  </si>
  <si>
    <t>Colegio Pumahue Curauma 2°A</t>
  </si>
  <si>
    <t>Pumahue Temuco Tercero A</t>
  </si>
  <si>
    <t>Netland School IV A</t>
  </si>
  <si>
    <t>Netland School IV D</t>
  </si>
  <si>
    <t>Colegio Arauco III</t>
  </si>
  <si>
    <t>Pumahue Temuco Tercero C</t>
  </si>
  <si>
    <t>Colegio Manquecura Ciudad del Este 2b 2B</t>
  </si>
  <si>
    <t>Colegio Humberstone 4 ° C</t>
  </si>
  <si>
    <t>Instituto Obiispo Silva Lezaeta 4°D</t>
  </si>
  <si>
    <t>British Royal School Tercero E</t>
  </si>
  <si>
    <t>Colegio Sagrados Corazones 2°B</t>
  </si>
  <si>
    <t>Colegio Sagrados Corazones 3 ° A</t>
  </si>
  <si>
    <t>18/12 y 21/12</t>
  </si>
  <si>
    <t>Colegio Castelgandolfo III B</t>
  </si>
  <si>
    <t>Colegio San Sebastian 2°B</t>
  </si>
  <si>
    <t>Colegio Eagle School 4°B</t>
  </si>
  <si>
    <t>Colegio Filipense 2doa Segundo A</t>
  </si>
  <si>
    <t>American British Tercero A</t>
  </si>
  <si>
    <t>Colegio Maria Auxiliadora 3 ° B</t>
  </si>
  <si>
    <t>Academia Bajo Molle 4° A</t>
  </si>
  <si>
    <t>Colegio Manquecura Ciudad de Los Valles 2c 2C</t>
  </si>
  <si>
    <t>Generacional Instituto Chacabuco Los Andes 2°b 2°B</t>
  </si>
  <si>
    <t>Colegio Academia Bajo Molle 4 º B</t>
  </si>
  <si>
    <t>Generacional Instituto Chacabuco Los Andes 2°A</t>
  </si>
  <si>
    <t>Mayor de Peñalolén Tercero C</t>
  </si>
  <si>
    <t>Compañia de Maria 2°</t>
  </si>
  <si>
    <t>Colegio Seminario San Rafael 2°D</t>
  </si>
  <si>
    <t>Colegio Antofagasta Tercero Medio Luis Bisquertt</t>
  </si>
  <si>
    <t>Colegio Universitario Antonio Rendic 3° B 2026</t>
  </si>
  <si>
    <t>Colegio Universitario Antonio Rendic 2° C</t>
  </si>
  <si>
    <t>Colegio San Luis GENERACION CUARTOS MEDIOS</t>
  </si>
  <si>
    <t>San Esteban 2° A</t>
  </si>
  <si>
    <t>Colegio Amazing Grace Tercero Medio 2026</t>
  </si>
  <si>
    <t>Eagle College Generacion East &amp; West</t>
  </si>
  <si>
    <t>Colegio Francisco de la Selva Tercero Medio</t>
  </si>
  <si>
    <t>Colegio Ingles San Jose 4°A</t>
  </si>
  <si>
    <t>Colegio Curimon 3º</t>
  </si>
  <si>
    <t>Pasajeros Charter Iqq Latam Tercero Medio</t>
  </si>
  <si>
    <t>N/A</t>
  </si>
  <si>
    <t>Colegio Almondale Lomas III A</t>
  </si>
  <si>
    <t>Colegio Almondale Lomas III B</t>
  </si>
  <si>
    <t>5ª COMIDA - CAMBORIU - 2026/2027</t>
  </si>
  <si>
    <t>TOTAL</t>
  </si>
  <si>
    <t>DATA e SERVICÇO</t>
  </si>
  <si>
    <t>Lounge GV (Estudiantes)</t>
  </si>
  <si>
    <t>Eclipse (Espuma)</t>
  </si>
  <si>
    <t>Shed (Disfraces)</t>
  </si>
  <si>
    <t>Green Valley (Blanco)</t>
  </si>
  <si>
    <t>Disco 2</t>
  </si>
  <si>
    <t>Fiesta Privada</t>
  </si>
  <si>
    <t>PLANILLA DE LOS COLEGIOS DA PANAM - DEZEMBRO - 2025</t>
  </si>
  <si>
    <t xml:space="preserve">Colégio </t>
  </si>
  <si>
    <t>Jueves 17</t>
  </si>
  <si>
    <t>Viernes 18</t>
  </si>
  <si>
    <t>Sabado 19</t>
  </si>
  <si>
    <t>Domingo 20</t>
  </si>
  <si>
    <t>Lunes 21</t>
  </si>
  <si>
    <t>Martes 22</t>
  </si>
  <si>
    <t>Miercoles 23</t>
  </si>
  <si>
    <t>Jueves 24</t>
  </si>
  <si>
    <t>Colégio:
The Antofagasta British School Generacion Terceros Medios
Alunos: 57
Adultos: 6
Guia: 3
Total:66
Hotel: Hotel D´Sintra
Guia:
____
Bus: ____</t>
  </si>
  <si>
    <t>IN - Vuelo:
 ____
Salida ANF:
____H
Llegada FLN:
____H
+
Almuerzo
+
Cena hotel 
BUS</t>
  </si>
  <si>
    <t>Salida p/Barco
as ____H
+
Almuerzo
+
Cena hotel
BUS</t>
  </si>
  <si>
    <t>Salida p/Teleferico
as ____H
+
Almuerzo
+
Cena hotel
Salida:
____H
Visita
CRISTO LUZ</t>
  </si>
  <si>
    <t>Salida p/Multiparque
as ____H
+
Almuerzo
+
Cena hotel
+
LOUNGE GV
(Estudiantes)
+
5ª COMIDA
BUS</t>
  </si>
  <si>
    <t>Salida p/Beto Carrero
as ____H
+
Almuerzo
+
Cena hotel
BUS</t>
  </si>
  <si>
    <t>Salida p/Panam Sport
as ____H
+
Almuerzo
+
Cena hotel
+
ECLIPSE
(Espuma)
+
5ª COMIDA
BUS</t>
  </si>
  <si>
    <t>Salida p/Rueda
as ____H
+
Almuerzo
+
Cena hotel
+
SHED
(Disfraces)
+
5ª COMIDA
BUS</t>
  </si>
  <si>
    <t>Box Lunch
Salida p/aeropuerto
____H
OUT - Vuelo:
 ____
Salida FLN:
____H
Llegada ANF:
____H
BUS</t>
  </si>
  <si>
    <t>Jueves 19</t>
  </si>
  <si>
    <t>Viernes 20</t>
  </si>
  <si>
    <t>Sabado 21</t>
  </si>
  <si>
    <t>Domingo 22</t>
  </si>
  <si>
    <t>Lunes 23</t>
  </si>
  <si>
    <t>Martes 24</t>
  </si>
  <si>
    <t>Miercoles 25</t>
  </si>
  <si>
    <t>Jueves 26</t>
  </si>
  <si>
    <t>Colégio:
Liceo Bicentenario Diego Portales 3°B
Alunos: 19
Adultos: 4
Guia: 2
Total:25
Hotel: Hotel HM
Guia:
____
Bus: ____</t>
  </si>
  <si>
    <t>IN - Vuelo:
 H2
Salida CJC:
____H
Llegada FLN:
____H
+
Almuerzo
+
Cena hotel 
BUS</t>
  </si>
  <si>
    <t>Salida p/Teleferico
as ____H
+
Almuerzo
+
Cena hotel
BUS</t>
  </si>
  <si>
    <t>Salida p/Rueda
as ____H
+
Almuerzo
+
Cena hotel
BUS</t>
  </si>
  <si>
    <t>Salida p/Zacarias
as ____H
+
Almuerzo
+
Cena hotel
BUS</t>
  </si>
  <si>
    <t>Salida p/Panam Sport
as ____H
+
Almuerzo
+
Cena hotel
BUS</t>
  </si>
  <si>
    <t>Box Lunch
Salida p/aeropuerto
____H
OUT - Vuelo:
 H2
Salida FLN:
____H
Llegada CJC:
____H
BUS</t>
  </si>
  <si>
    <t>Viernes 27</t>
  </si>
  <si>
    <t>Sabado 28</t>
  </si>
  <si>
    <t>Domingo 29</t>
  </si>
  <si>
    <t>Lunes 30</t>
  </si>
  <si>
    <t>Martes 01</t>
  </si>
  <si>
    <t>Colégio:
Santa María de Cervellón Tercero B
Alunos: 16
Adultos: 4
Guia: 1
Total:21
Hotel: Hotel D´Sintra
Guia:
____
Bus: ____</t>
  </si>
  <si>
    <t>IN - Vuelo:
 LA
Salida SCL:
____H
Llegada FLN:
____H
+
Almuerzo
+
Cena hotel 
BUS</t>
  </si>
  <si>
    <t>Salida p/Cascata Carolina
as ____H
+
Almuerzo
+
Cena hotel
BUS</t>
  </si>
  <si>
    <t>Box Lunch
Salida p/aeropuerto
____H
OUT - Vuelo:
 LA
Salida FLN:
____H
Llegada SCL:
____H
BUS</t>
  </si>
  <si>
    <t>Colégio:
Pedro de Valdivia Peñalolen Segundo C
Alunos: 29
Adultos: 4
Guia: 2
Total:35
Hotel: Hotel D´Sintra
Guia:
____
Bus: ____</t>
  </si>
  <si>
    <t>IN - Vuelo:
 ____
Salida SCL:
____H
Llegada FLN:
____H
+
Almuerzo
+
Cena hotel 
BUS</t>
  </si>
  <si>
    <t>Box Lunch
Salida p/aeropuerto
____H
OUT - Vuelo:
 ____
Salida FLN:
____H
Llegada SCL:
____H
BUS</t>
  </si>
  <si>
    <t>Colégio:
Pedro de Valdivia Peñalolen Segundo D
Alunos: 30
Adultos: 4
Guia: 2
Total:36
Hotel: Hotel D´Sintra
Guia:
____
Bus: ____</t>
  </si>
  <si>
    <t>Colégio:
British Royal School GENERACIÓN
Alunos: 126
Adultos: 17
Guia: 7
Total:150
Hotel: Hotel D´Sintra
Guia:
____
Bus: ____</t>
  </si>
  <si>
    <t>Colégio:
British Royal G26 Segundo Medio
Alunos: 39
Adultos: 0
Guia: 3
Total:42
Hotel: Hotel D´Sintra
Guia:
____
Bus: ____</t>
  </si>
  <si>
    <t>Colégio:
Colegio Aleman generacional
Alunos: 35
Adultos: 3
Guia: 2
Total:40
Hotel: Hotel D´Sintra
Guia:
____
Bus: ____</t>
  </si>
  <si>
    <t>Miercoles 02</t>
  </si>
  <si>
    <t>Jueves 03</t>
  </si>
  <si>
    <t>Viernes 04</t>
  </si>
  <si>
    <t>Sabado 05</t>
  </si>
  <si>
    <t>Domingo 06</t>
  </si>
  <si>
    <t>Lunes 07</t>
  </si>
  <si>
    <t>Martes 08</t>
  </si>
  <si>
    <t>Colégio:
Juan Pablo Segundo 3 º C
Alunos: 30
Adultos: 3
Guia: 2
Total:35
Hotel: Hotel D´Sintra
Guia:
____
Bus: ____</t>
  </si>
  <si>
    <t>IN - Vuelo:
 LA
Salida ANF:
____H
Llegada FLN:
____H
+
Almuerzo
+
Cena hotel 
BUS</t>
  </si>
  <si>
    <t>Salida p/Beto Carrero
as ____H
+
Almuerzo
+
Cena hotel
+
GREEN VALLEY
(Blanco)
+
5ª COMIDA
BUS</t>
  </si>
  <si>
    <t>Salida p/Barco
as ____H
+
TELEFERICO
+
Almuerzo
+
Cena hotel
+
DISCO 2
+
5ª COMIDA
BUS</t>
  </si>
  <si>
    <t>Salida p/Cascata Carolina
as ____H
+
Almuerzo
+
Cena hotel
Salida:
____H
Visita
CRISTO LUZ</t>
  </si>
  <si>
    <t>Salida p/Teleferico
as ____H
+
BARCO
+
Almuerzo
+
Cena hotel
+
ECLIPSE
(Espuma)
+
5ª COMIDA
BUS</t>
  </si>
  <si>
    <t>Salida p/Rueda
as ____H
+
Almuerzo
+
Cena hotel
+
FIESTA PRIVADA
+
5ª COMIDA
BUS</t>
  </si>
  <si>
    <t>Salida p/Zacarias
as ____H
+
Almuerzo
+
Cena hotel
Salida:
____H
Visita
CRISTO LUZ</t>
  </si>
  <si>
    <t>Box Lunch
Salida p/aeropuerto
____H
OUT - Vuelo:
 LA
Salida FLN:
____H
Llegada ANF:
____H
BUS</t>
  </si>
  <si>
    <t>Colégio:
1° Colegio Árabe Viña 1°
Alunos: 24
Adultos: 2
Guia: 2
Total:28
Hotel: Hotel D´Sintra
Guia:
____
Bus: ____</t>
  </si>
  <si>
    <t>Colégio:
Colegio San Nicolas de Maipú III B
Alunos: 20
Adultos: 2
Guia: 1
Total:23
Hotel: Hotel D´Sintra
Guia:
____
Bus: ____</t>
  </si>
  <si>
    <t>Colégio:
Mayor de Tobalaba Tercero C
Alunos: 27
Adultos: 0
Guia: 1
Total:28
Hotel: Hotel D´Sintra
Guia:
____
Bus: ____</t>
  </si>
  <si>
    <t>IN - Vuelo:
 H2
Salida SCL:
____H
Llegada FLN:
____H
+
Almuerzo
+
Cena hotel 
BUS</t>
  </si>
  <si>
    <t>Box Lunch
Salida p/aeropuerto
____H
OUT - Vuelo:
 H2
Salida FLN:
____H
Llegada SCL:
____H
BUS</t>
  </si>
  <si>
    <t>Colégio:
The English Institute Terceros medios A. C. D y E
Alunos: 79
Adultos: 0
Guia: 4
Total:83
Hotel: Hotel D´Sintra
Guia:
____
Bus: ____</t>
  </si>
  <si>
    <t>Colégio:
Juan Pablo Segundo 3° A
Alunos: 24
Adultos: 4
Guia: 0
Total:28
Hotel: Hotel D´Sintra
Guia:
____
Bus: ____</t>
  </si>
  <si>
    <t>Colégio:
Generacional Instituto Chacabuco 2°C
Alunos: 35
Adultos: 7
Guia: 3
Total:45
Hotel: Hotel D´Sintra
Guia:
____
Bus: ____</t>
  </si>
  <si>
    <t>Colégio:
Colegio San Lucas Evangelista Tercero Medio
Alunos: 24
Adultos: 2
Guia: 0
Total:26
Hotel: Hotel HM
Guia:
____
Bus: ____</t>
  </si>
  <si>
    <t>Colégio:
Colegio Juan Pablo Segundo 3°B
Alunos: 31
Adultos: 7
Guia: 0
Total:38
Hotel: Hotel D´Sintra
Guia:
____
Bus: ____</t>
  </si>
  <si>
    <t>Colégio:
Colegio San Agustin 2026 II
Alunos: 29
Adultos: 3
Guia: 1
Total:33
Hotel: Hotel D´Sintra
Guia:
____
Bus: ____</t>
  </si>
  <si>
    <t>Colégio:
Colegio Republica de Siria II D
Alunos: 20
Adultos: 0
Guia: 1
Total:21
Hotel: Hotel D´Sintra
Guia:
____
Bus: ____</t>
  </si>
  <si>
    <t>Colégio:
Mayor de Peñalolen Tercero D
Alunos: 25
Adultos: 0
Guia: 2
Total:27
Hotel: Hotel D´Sintra
Guia:
____
Bus: ____</t>
  </si>
  <si>
    <t>Colégio:
Bradford School Terceros medios A. B y C
Alunos: 75
Adultos: 0
Guia: 4
Total:79
Hotel: Hotel D´Sintra
Guia:
____
Bus: ____</t>
  </si>
  <si>
    <t>Colégio:
Colegio Netland School 2° D
Alunos: 24
Adultos: 2
Guia: 0
Total:26
Hotel: Hotel HM
Guia:
____
Bus: ____</t>
  </si>
  <si>
    <t>Colégio:
Colegio Quimahue 2a 2A
Alunos: 27
Adultos: 4
Guia: 2
Total:33
Hotel: Hotel HM
Guia:
____
Bus: ____</t>
  </si>
  <si>
    <t>Colégio:
Colegio Panamerican College II B
Alunos: 19
Adultos: 4
Guia: 1
Total:24
Hotel: Hotel HM
Guia:
____
Bus: ____</t>
  </si>
  <si>
    <t>Colégio:
Ruiz Tagle 2026 III A
Alunos: 9
Adultos: 0
Guia: 1
Total:10
Hotel: Hotel H
Guia:
____
Bus: ____</t>
  </si>
  <si>
    <t>Colégio:
Sunvalley College 2°
Alunos: 18
Adultos: 4
Guia: 2
Total:24
Hotel: Hotel HM
Guia:
____
Bus: ____</t>
  </si>
  <si>
    <t>Colégio:
Colegio San Esteban 3° B
Alunos: 23
Adultos: 4
Guia: 0
Total:27
Hotel: Hotel Rieger
Guia:
____
Bus: ____</t>
  </si>
  <si>
    <t>Colégio:
The Angel´s School Generación Tercero medio
Alunos: 46
Adultos: 0
Guia: 2
Total:48
Hotel: Hotel Brut
Guia:
____
Bus: ____</t>
  </si>
  <si>
    <t>Colégio:
Colegio Leonardo D Vinci Tercero Medio
Alunos: 18
Adultos: 4
Guia: 0
Total:22
Hotel: Hotel Rieger
Guia:
____
Bus: ____</t>
  </si>
  <si>
    <t>Colégio:
Colegio Saint Dominics School 3a / Viaja En 3ero 3°A
Alunos: 22
Adultos: 0
Guia: 1
Total:23
Hotel: Hotel Rieger
Guia:
____
Bus: ____</t>
  </si>
  <si>
    <t>Colégio:
Colegio Saint Dominics School 3°b /  / Viajan En 3 3°B
Alunos: 24
Adultos: 0
Guia: 1
Total:25
Hotel: Hotel Rieger
Guia:
____
Bus: ____</t>
  </si>
  <si>
    <t>Colégio:
Colegio Saint Dominics School 3°c /  / Viaja En 3 3°C
Alunos: 20
Adultos: 0
Guia: 1
Total:21
Hotel: Hotel Rieger
Guia:
____
Bus: ____</t>
  </si>
  <si>
    <t>Miercoles 09</t>
  </si>
  <si>
    <t>Jueves 10</t>
  </si>
  <si>
    <t>Colégio:
Colegio Liahona 2 MEDIO
Alunos: 25
Adultos: 6
Guia: 1
Total:32
Hotel: Hotel H
Guia:
____
Bus: ____</t>
  </si>
  <si>
    <t>Salida p/Beto Carrero
as ____H
+
Almuerzo
+
Cena hotel
Salida:
____H
Visita
CRISTO LUZ</t>
  </si>
  <si>
    <t>Salida p/Barco
as ____H
+
Almuerzo
+
Cena hotel
+
ECLIPSE
(Espuma)
+
5ª COMIDA
BUS</t>
  </si>
  <si>
    <t>Viernes 11</t>
  </si>
  <si>
    <t>Sabado 12</t>
  </si>
  <si>
    <t>Domingo 13</t>
  </si>
  <si>
    <t>Lunes 14</t>
  </si>
  <si>
    <t>Martes 15</t>
  </si>
  <si>
    <t>Colégio:
San Patricio 2º A
Alunos: 26
Adultos: 2
Guia: 0
Total:28
Hotel: Hotel D´Sintra
Guia:
____
Bus: ____</t>
  </si>
  <si>
    <t>Colégio:
American British Tercero E
Alunos: 35
Adultos: 0
Guia: 2
Total:37
Hotel: Hotel D´Sintra
Guia:
____
Bus: ____</t>
  </si>
  <si>
    <t>Colégio:
Saint James 1 MEDIO
Alunos: 28
Adultos: 2
Guia: 2
Total:32
Hotel: Hotel D´Sintra
Guia:
____
Bus: ____</t>
  </si>
  <si>
    <t>Colégio:
Academia Nahuel Paine 2C
Alunos: 39
Adultos: 4
Guia: 3
Total:46
Hotel: Hotel H
Guia:
____
Bus: ____</t>
  </si>
  <si>
    <t>Colégio:
Colegio Hispano Britanico 3ºC
Alunos: 25
Adultos: 5
Guia: 0
Total:30
Hotel: Hotel D´Sintra
Guia:
____
Bus: ____</t>
  </si>
  <si>
    <t>IN - Vuelo:
 LA
Salida IQQ:
____H
Llegada FLN:
____H
+
Almuerzo
+
Cena hotel 
BUS</t>
  </si>
  <si>
    <t>Box Lunch
Salida p/aeropuerto
____H
OUT - Vuelo:
 LA
Salida FLN:
____H
Llegada IQQ:
____H
BUS</t>
  </si>
  <si>
    <t>Colégio:
Liceo Augusto D`halmar 4to D
Alunos: 34
Adultos: 3
Guia: 1
Total:38
Hotel: Hotel HM
Guia:
____
Bus: ____</t>
  </si>
  <si>
    <t>Salida p/Rueda
as ____H
+
Almuerzo
+
Cena hotel
Salida:
____H
Visita
CRISTO LUZ</t>
  </si>
  <si>
    <t>Salida p/Teleferico
as ____H
+
Almuerzo
+
Cena hotel
+
ECLIPSE
(Espuma)
+
5ª COMIDA
BUS</t>
  </si>
  <si>
    <t>Colégio:
Hispano Britanico 2º A
Alunos: 30
Adultos: 5
Guia: 0
Total:35
Hotel: Hotel D´Sintra
Guia:
____
Bus: ____</t>
  </si>
  <si>
    <t>Colégio:
Liceo Augusto D`halmar 4to C
Alunos: 29
Adultos: 3
Guia: 1
Total:33
Hotel: Hotel HM
Guia:
____
Bus: ____</t>
  </si>
  <si>
    <t>Colégio:
Colegio Hispano Britanico 2ºD
Alunos: 27
Adultos: 2
Guia: 1
Total:30
Hotel: Hotel D´Sintra
Guia:
____
Bus: ____</t>
  </si>
  <si>
    <t>Colégio:
Hispano Britanico 3°B
Alunos: 25
Adultos: 4
Guia: 0
Total:29
Hotel: Hotel D´Sintra
Guia:
____
Bus: ____</t>
  </si>
  <si>
    <t>Colégio:
Mayor de Tobalaba Tercero B
Alunos: 26
Adultos: 0
Guia: 2
Total:28
Hotel: Hotel D´Sintra
Guia:
____
Bus: ____</t>
  </si>
  <si>
    <t>Colégio:
Colegio Bosque de Arauco 2026 III
Alunos: 23
Adultos: 8
Guia: 2
Total:33
Hotel: Hotel D´Sintra
Guia:
____
Bus: ____</t>
  </si>
  <si>
    <t>IN - Vuelo:
 LA
Salida CCP:
____H
Llegada FLN:
____H
+
Almuerzo
+
Cena hotel 
BUS</t>
  </si>
  <si>
    <t>Box Lunch
Salida p/aeropuerto
____H
OUT - Vuelo:
 LA
Salida FLN:
____H
Llegada CCP:
____H
BUS</t>
  </si>
  <si>
    <t>Colégio:
San Patricio 2 ° B
Alunos: 25
Adultos: 3
Guia: 0
Total:28
Hotel: Hotel D´Sintra
Guia:
____
Bus: ____</t>
  </si>
  <si>
    <t>Colégio:
Colegio Sagrados Corazones III C
Alunos: 35
Adultos: 3
Guia: 2
Total:40
Hotel: Hotel D´Sintra
Guia:
____
Bus: ____</t>
  </si>
  <si>
    <t>Colégio:
Colegio Altomonte 2°A
Alunos: 15
Adultos: 3
Guia: 1
Total:19
Hotel: Hotel D´Sintra
Guia:
____
Bus: ____</t>
  </si>
  <si>
    <t>Colégio:
Colegio Lirima Terceros Medios
Alunos: 39
Adultos: 4
Guia: 0
Total:43
Hotel: Hotel D´Sintra
Guia:
____
Bus: ____</t>
  </si>
  <si>
    <t>Colégio:
Pedro de Valdivia de Providencia Tercero A
Alunos: 23
Adultos: 1
Guia: 1
Total:25
Hotel: Hotel D´Sintra
Guia:
____
Bus: ____</t>
  </si>
  <si>
    <t>Colégio:
Colegio Concepcion San Pedro III A
Alunos: 23
Adultos: 3
Guia: 1
Total:27
Hotel: Hotel D´Sintra
Guia:
____
Bus: ____</t>
  </si>
  <si>
    <t>Colégio:
Colegio Concepcion San Pedro III B
Alunos: 28
Adultos: 2
Guia: 2
Total:32
Hotel: Hotel D´Sintra
Guia:
____
Bus: ____</t>
  </si>
  <si>
    <t>Colégio:
Colegio Altomonte Generacional 2°B
Alunos: 10
Adultos: 1
Guia: 1
Total:12
Hotel: Hotel D´Sintra
Guia:
____
Bus: ____</t>
  </si>
  <si>
    <t>Colégio:
American British Tercero D
Alunos: 21
Adultos: 0
Guia: 1
Total:22
Hotel: Hotel D´Sintra
Guia:
____
Bus: ____</t>
  </si>
  <si>
    <t>Colégio:
Colegio Carmen Teresiano 2026 1ero medio
Alunos: 27
Adultos: 3
Guia: 2
Total:32
Hotel: Hotel HM
Guia:
____
Bus: ____</t>
  </si>
  <si>
    <t>Colégio:
Instituto Lasalle la Florida 2 A 2a
Alunos: 35
Adultos: 4
Guia: 2
Total:41
Hotel: Hotel HM
Guia:
____
Bus: ____</t>
  </si>
  <si>
    <t>Colégio:
Colegio San Luis 3° B
Alunos: 35
Adultos: 2
Guia: 0
Total:37
Hotel: Hotel Rieger
Guia:
____
Bus: ____</t>
  </si>
  <si>
    <t>Colégio:
Colegio Pumahue Curauma 2°A
Alunos: 30
Adultos: 4
Guia: 2
Total:36
Hotel: Hotel HM
Guia:
____
Bus: ____</t>
  </si>
  <si>
    <t>Colégio:
Pumahue Temuco Tercero A
Alunos: 26
Adultos: 4
Guia: 1
Total:31
Hotel: Hotel Rieger
Guia:
____
Bus: ____</t>
  </si>
  <si>
    <t>Colégio:
Netland School IV A
Alunos: 28
Adultos: 0
Guia: 2
Total:30
Hotel: Hotel Rieger
Guia:
____
Bus: ____</t>
  </si>
  <si>
    <t>Colégio:
Netland School IV D
Alunos: 26
Adultos: 3
Guia: 2
Total:31
Hotel: Hotel Rieger
Guia:
____
Bus: ____</t>
  </si>
  <si>
    <t>Colégio:
Colegio Arauco III
Alunos: 22
Adultos: 1
Guia: 1
Total:24
Hotel: Hotel HM
Guia:
____
Bus: ____</t>
  </si>
  <si>
    <t>Colégio:
Pumahue Temuco Tercero C
Alunos: 26
Adultos: 2
Guia: 1
Total:29
Hotel: Hotel HM
Guia:
____
Bus: ____</t>
  </si>
  <si>
    <t>Colégio:
Colegio Manquecura Ciudad del Este 2b 2B
Alunos: 32
Adultos: 4
Guia: 2
Total:38
Hotel: Hotel HM
Guia:
____
Bus: ____</t>
  </si>
  <si>
    <t>Colégio:
Colegio Humberstone 4 ° C
Alunos: 19
Adultos: 3
Guia: 0
Total:22
Hotel: Hotel HM
Guia:
____
Bus: ____</t>
  </si>
  <si>
    <t>Colégio:
Instituto Obiispo Silva Lezaeta 4°D
Alunos: 26
Adultos: 4
Guia: 0
Total:30
Hotel: Hotel H
Guia:
____
Bus: ____</t>
  </si>
  <si>
    <t>Colégio:
British Royal School Tercero E
Alunos: 27
Adultos: 1
Guia: 2
Total:30
Hotel: Hotel Rieger
Guia:
____
Bus: ____</t>
  </si>
  <si>
    <t>Colégio:
Colegio Sagrados Corazones 2°B
Alunos: 26
Adultos: 3
Guia: 0
Total:29
Hotel: Hotel D´Sintra
Guia:
____
Bus: ____</t>
  </si>
  <si>
    <t>Miercoles 16</t>
  </si>
  <si>
    <t>Colégio:
Colegio Sagrados Corazones 3 ° A
Alunos: 33
Adultos: 0
Guia: 0
Total:33
Hotel: Hotel D´Sintra
Guia:
____
Bus: ____</t>
  </si>
  <si>
    <t>Colégio:
Colegio Castelgandolfo III B
Alunos: 26
Adultos: 3
Guia: 2
Total:31
Hotel: Hotel H
Guia:
____
Bus: ____</t>
  </si>
  <si>
    <t>Colégio:
Colegio San Sebastian 2°B
Alunos: 27
Adultos: 3
Guia: 2
Total:32
Hotel: Hotel D´Sintra
Guia:
____
Bus: ____</t>
  </si>
  <si>
    <t>Colégio:
Colegio Eagle School 4°B
Alunos: 26
Adultos: 8
Guia: 1
Total:35
Hotel: Hotel D´Sintra
Guia:
____
Bus: ____</t>
  </si>
  <si>
    <t>Colégio:
Colegio Filipense 2doa Segundo A
Alunos: 15
Adultos: 1
Guia: 1
Total:17
Hotel: Hotel H
Guia:
____
Bus: ____</t>
  </si>
  <si>
    <t>Colégio:
American British Tercero A
Alunos: 36
Adultos: 0
Guia: 2
Total:38
Hotel: Hotel D´Sintra
Guia:
____
Bus: ____</t>
  </si>
  <si>
    <t>Colégio:
Colegio Maria Auxiliadora 3 ° B
Alunos: 19
Adultos: 3
Guia: 0
Total:22
Hotel: Hotel D´Sintra
Guia:
____
Bus: ____</t>
  </si>
  <si>
    <t>Colégio:
Academia Bajo Molle 4° A
Alunos: 37
Adultos: 9
Guia: 0
Total:46
Hotel: Hotel D´Sintra
Guia:
____
Bus: ____</t>
  </si>
  <si>
    <t>Colégio:
Colegio Manquecura Ciudad de Los Valles 2c 2C
Alunos: 30
Adultos: 6
Guia: 2
Total:38
Hotel: Hotel D´Sintra
Guia:
____
Bus: ____</t>
  </si>
  <si>
    <t>Colégio:
Generacional Instituto Chacabuco Los Andes 2°b 2°B
Alunos: 26
Adultos: 10
Guia: 2
Total:38
Hotel: Hotel D´Sintra
Guia:
____
Bus: ____</t>
  </si>
  <si>
    <t>Colégio:
Colegio Academia Bajo Molle 4 º B
Alunos: 37
Adultos: 7
Guia: 0
Total:44
Hotel: Hotel D´Sintra
Guia:
____
Bus: ____</t>
  </si>
  <si>
    <t>Colégio:
Generacional Instituto Chacabuco Los Andes 2°A
Alunos: 36
Adultos: 6
Guia: 3
Total:45
Hotel: Hotel D´Sintra
Guia:
____
Bus: ____</t>
  </si>
  <si>
    <t>Colégio:
Mayor de Peñalolén Tercero C
Alunos: 32
Adultos: 0
Guia: 2
Total:34
Hotel: Hotel D´Sintra
Guia:
____
Bus: ____</t>
  </si>
  <si>
    <t>Colégio:
Compañia de Maria 2°
Alunos: 29
Adultos: 2
Guia: 2
Total:33
Hotel: Hotel D´Sintra
Guia:
____
Bus: ____</t>
  </si>
  <si>
    <t>Colégio:
Colegio Seminario San Rafael 2°D
Alunos: 25
Adultos: 6
Guia: 2
Total:33
Hotel: Hotel D´Sintra
Guia:
____
Bus: ____</t>
  </si>
  <si>
    <t>Colégio:
Colegio Antofagasta Tercero Medio Luis Bisquertt
Alunos: 21
Adultos: 8
Guia: 1
Total:30
Hotel: Hotel HM
Guia:
____
Bus: ____</t>
  </si>
  <si>
    <t>Colégio:
Colegio Universitario Antonio Rendic 3° B 2026
Alunos: 27
Adultos: 2
Guia: 1
Total:30
Hotel: Hotel HM
Guia:
____
Bus: ____</t>
  </si>
  <si>
    <t>Colégio:
Colegio Universitario Antonio Rendic 2° C
Alunos: 20
Adultos: 1
Guia: 1
Total:22
Hotel: Hotel HM
Guia:
____
Bus: ____</t>
  </si>
  <si>
    <t>Colégio:
Colegio San Luis GENERACION CUARTOS MEDIOS
Alunos: 65
Adultos: 5
Guia: 3
Total:73
Hotel: Hotel Rieger
Guia:
____
Bus: ____</t>
  </si>
  <si>
    <t>Colégio:
San Esteban 2° A
Alunos: 21
Adultos: 2
Guia: 1
Total:24
Hotel: Hotel HM
Guia:
____
Bus: ____</t>
  </si>
  <si>
    <t>Colégio:
Colegio Amazing Grace Tercero Medio 2026
Alunos: 16
Adultos: 1
Guia: 0
Total:17
Hotel: Hotel HM
Guia:
____
Bus: ____</t>
  </si>
  <si>
    <t>Colégio:
Eagle College Generacion East &amp; West
Alunos: 33
Adultos: 3
Guia: 0
Total:36
Hotel: Hotel HM
Guia:
____
Bus: ____</t>
  </si>
  <si>
    <t>Colégio:
Colegio Francisco de la Selva Tercero Medio
Alunos: 28
Adultos: 3
Guia: 0
Total:31
Hotel: Hotel HM
Guia:
____
Bus: ____</t>
  </si>
  <si>
    <t>Colégio:
Colegio Ingles San Jose 4°A
Alunos: 12
Adultos: 2
Guia: 1
Total:15
Hotel: Hotel Rieger
Guia:
____
Bus: ____</t>
  </si>
  <si>
    <t>Colégio:
Colegio Curimon 3º
Alunos: 21
Adultos: 3
Guia: 1
Total:25
Hotel: Hotel Rieger
Guia:
____
Bus: ____</t>
  </si>
  <si>
    <t>Colégio:
Pasajeros Charter Iqq Latam Tercero Medio
Alunos: 3
Adultos: ____
Guia: 1
Total:4
Hotel: N/A
Guia:
____
Bus: ____</t>
  </si>
  <si>
    <t>Colégio:
Colegio Almondale Lomas III A
Alunos: 28
Adultos: 0
Guia: 2
Total:30
Hotel: Hotel D´Sintra
Guia:
____
Bus: ____</t>
  </si>
  <si>
    <t>Colégio:
Colegio Almondale Lomas III B
Alunos: 36
Adultos: 0
Guia: 2
Total:38
Hotel: Hotel D´Sintra
Guia:
____
Bus: ____</t>
  </si>
  <si>
    <t>Colégio:
Colegio Harvest Christian School 4 C
Alunos: 28
Adultos: 6
Guia: 0
Total:34
Hotel: Hotel H
Guia:
____
Bus: ____</t>
  </si>
  <si>
    <t>SIN
MARCACIÓN</t>
  </si>
  <si>
    <t>Colégio:
Club de Conquistadores Centinela del Amanecer Grupo Scout
Alunos: 21
Adultos: 11
Guia: 1
Total:33
Hotel: Hotel H
Guia:
____
Bus: ____</t>
  </si>
  <si>
    <t>BARCO - CAMBORIU - 2026/2027</t>
  </si>
  <si>
    <t>Liceo Bicentenario Diego Portales 3°B</t>
  </si>
  <si>
    <t>Santa María de Cervellón Tercero B</t>
  </si>
  <si>
    <t>Pedro de Valdivia Peñalolen Segundo C</t>
  </si>
  <si>
    <t>Pedro de Valdivia Peñalolen Segundo D</t>
  </si>
  <si>
    <t>British Royal School GENERACIÓN</t>
  </si>
  <si>
    <t>British Royal G26 Segundo Medio</t>
  </si>
  <si>
    <t>Colegio Aleman generacional</t>
  </si>
  <si>
    <t>03/12 y 05/12</t>
  </si>
  <si>
    <t>10/12 y 12/12</t>
  </si>
  <si>
    <t>17/12 y 19/12</t>
  </si>
  <si>
    <t>BETO CARRERO - CAMBORIU - 2026/2027</t>
  </si>
  <si>
    <t>CASCATA CAROLINA - CAMBORIU - 2026/2027</t>
  </si>
  <si>
    <t>MULTIPARQUE - CAMBORIU - 2026/2027</t>
  </si>
  <si>
    <t>PANAM SPORT - CAMBORIU - 2026/2027</t>
  </si>
  <si>
    <t>RUEDA - CAMBORIU - 2026/2027</t>
  </si>
  <si>
    <t>TELEFERICO - CAMBORIU - 2026/2027</t>
  </si>
  <si>
    <t>ZACARIAS - CAMBORIU - 2026/2027</t>
  </si>
  <si>
    <t>Nº</t>
  </si>
  <si>
    <t>FILE</t>
  </si>
  <si>
    <t>CURSO</t>
  </si>
  <si>
    <t>ALUMNOS</t>
  </si>
  <si>
    <t>GUÍAS</t>
  </si>
  <si>
    <t>SALIDA</t>
  </si>
  <si>
    <t>LLEGADA</t>
  </si>
  <si>
    <t>CANT DISCOS</t>
  </si>
  <si>
    <t>PRE ASIG AEREA</t>
  </si>
  <si>
    <t>OBSERVACIONES</t>
  </si>
  <si>
    <t>The Antofagasta British School</t>
  </si>
  <si>
    <t>Generacion Terceros Medios</t>
  </si>
  <si>
    <t>3 Discos + 1 Fiesta Privada</t>
  </si>
  <si>
    <t>ANF | FLN_Regular_17/09/2026</t>
  </si>
  <si>
    <t>Liceo Bicentenario Diego Portales</t>
  </si>
  <si>
    <t>3°B</t>
  </si>
  <si>
    <t>H2_CJC | FLN_Regular_19/11</t>
  </si>
  <si>
    <t>Santa María de Cervellón</t>
  </si>
  <si>
    <t>Tercero B</t>
  </si>
  <si>
    <t>LA_SCL | FLN_Charter_9_24/11/2026</t>
  </si>
  <si>
    <t>Pedro de Valdivia Peñalolen</t>
  </si>
  <si>
    <t>Segundo C</t>
  </si>
  <si>
    <t>SCL | FLN_Regular_24/11/2026</t>
  </si>
  <si>
    <t>Segundo D</t>
  </si>
  <si>
    <t>British Royal School</t>
  </si>
  <si>
    <t>GENERACIÓN</t>
  </si>
  <si>
    <t>British Royal G26</t>
  </si>
  <si>
    <t>Segundo Medio</t>
  </si>
  <si>
    <t>Colegio Aleman</t>
  </si>
  <si>
    <t>generacional</t>
  </si>
  <si>
    <t>Juan Pablo Segundo</t>
  </si>
  <si>
    <t>3 º C</t>
  </si>
  <si>
    <t>LA_ANF | FLN_Charter_1_01/12/2026</t>
  </si>
  <si>
    <t>1° Colegio Árabe Viña</t>
  </si>
  <si>
    <t>1°</t>
  </si>
  <si>
    <t>SCL | FLN_Regular_01/12/2026</t>
  </si>
  <si>
    <t>Colegio San Nicolas de Maipú</t>
  </si>
  <si>
    <t>III B</t>
  </si>
  <si>
    <t>Mayor de Tobalaba</t>
  </si>
  <si>
    <t>Tercero C</t>
  </si>
  <si>
    <t>H2_SCL | FLN_Charter_2_01/12/2026</t>
  </si>
  <si>
    <t>The English Institute</t>
  </si>
  <si>
    <t>Terceros medios A. C. D y E</t>
  </si>
  <si>
    <t>3° A</t>
  </si>
  <si>
    <t>Generacional Instituto Chacabuco</t>
  </si>
  <si>
    <t>2°C</t>
  </si>
  <si>
    <t>Colegio San Lucas Evangelista</t>
  </si>
  <si>
    <t>Tercero Medio</t>
  </si>
  <si>
    <t>Colegio Juan Pablo Segundo</t>
  </si>
  <si>
    <t>Colegio San Agustin 2026</t>
  </si>
  <si>
    <t>II</t>
  </si>
  <si>
    <t>Colegio Sagrados Corazones</t>
  </si>
  <si>
    <t>3 ° A</t>
  </si>
  <si>
    <t>LA_IQQ | FLN_Charter_2_15/12/2026</t>
  </si>
  <si>
    <t>Colegio Republica de Siria</t>
  </si>
  <si>
    <t>II D</t>
  </si>
  <si>
    <t>Mayor de Peñalolen</t>
  </si>
  <si>
    <t>Tercero D</t>
  </si>
  <si>
    <t>LA_SCL | FLN_Charter_1_01/12/2026</t>
  </si>
  <si>
    <t>Bradford School</t>
  </si>
  <si>
    <t>Terceros medios A. B y C</t>
  </si>
  <si>
    <t>Colegio Netland School</t>
  </si>
  <si>
    <t>2° D</t>
  </si>
  <si>
    <t>Colegio Quimahue 2a</t>
  </si>
  <si>
    <t>2A</t>
  </si>
  <si>
    <t>No quieren rueda quieren ir al acuario</t>
  </si>
  <si>
    <t>Colegio Panamerican College</t>
  </si>
  <si>
    <t>II B</t>
  </si>
  <si>
    <t>Ruiz Tagle 2026</t>
  </si>
  <si>
    <t>III A</t>
  </si>
  <si>
    <t>Sunvalley College</t>
  </si>
  <si>
    <t>2°</t>
  </si>
  <si>
    <t>Tiene Bowling</t>
  </si>
  <si>
    <t>Colegio San Esteban</t>
  </si>
  <si>
    <t>3° B</t>
  </si>
  <si>
    <t>The Angel´s School</t>
  </si>
  <si>
    <t>Generación Tercero medio</t>
  </si>
  <si>
    <t>Colegio Leonardo D Vinci</t>
  </si>
  <si>
    <t>Colegio Saint Dominics School 3a / Viaja En 3ero</t>
  </si>
  <si>
    <t>3°A</t>
  </si>
  <si>
    <t>Colegio Saint Dominics School 3°b /  / Viajan En 3</t>
  </si>
  <si>
    <t>Colegio Saint Dominics School 3°c /  / Viaja En 3</t>
  </si>
  <si>
    <t>3°C</t>
  </si>
  <si>
    <t>Colegio Liahona</t>
  </si>
  <si>
    <t>2 MEDIO</t>
  </si>
  <si>
    <t>2 Discos + 1 definir con charly cena privada de velas o cristo  luz</t>
  </si>
  <si>
    <t>SCL | FLN_Regular_03/12/2026</t>
  </si>
  <si>
    <t>San Patricio</t>
  </si>
  <si>
    <t>2º A</t>
  </si>
  <si>
    <t>LA_ANF | FLN_Charter_2_08/12/2026</t>
  </si>
  <si>
    <t>American British</t>
  </si>
  <si>
    <t>Tercero E</t>
  </si>
  <si>
    <t>H2_SCL | FLN_Charter_4_08/12/2026</t>
  </si>
  <si>
    <t>Saint James</t>
  </si>
  <si>
    <t>1 MEDIO</t>
  </si>
  <si>
    <t>Academia Nahuel Paine</t>
  </si>
  <si>
    <t>2C</t>
  </si>
  <si>
    <t>Colegio Hispano Britanico</t>
  </si>
  <si>
    <t>3ºC</t>
  </si>
  <si>
    <t>LA_IQQ | FLN_Charter_1_08/12/2026</t>
  </si>
  <si>
    <t>Liceo Augusto D`halmar</t>
  </si>
  <si>
    <t>4to D</t>
  </si>
  <si>
    <t>SCL | FLN_Regular_08/12/2026</t>
  </si>
  <si>
    <t>Hispano Britanico</t>
  </si>
  <si>
    <t>4to C</t>
  </si>
  <si>
    <t>2ºD</t>
  </si>
  <si>
    <t>Colegio Bosque de Arauco 2026</t>
  </si>
  <si>
    <t>III</t>
  </si>
  <si>
    <t>LA_CCP | FLN_Charter_1_08/12/2026</t>
  </si>
  <si>
    <t>2 ° B</t>
  </si>
  <si>
    <t>III C</t>
  </si>
  <si>
    <t>Colegio Altomonte</t>
  </si>
  <si>
    <t>2°A</t>
  </si>
  <si>
    <t>LA_SCL | FLN_Charter_3_08/12/2026</t>
  </si>
  <si>
    <t>Colegio Lirima</t>
  </si>
  <si>
    <t>Terceros Medios</t>
  </si>
  <si>
    <t>Pedro de Valdivia de Providencia</t>
  </si>
  <si>
    <t>Tercero A</t>
  </si>
  <si>
    <t>Colegio Concepcion San Pedro</t>
  </si>
  <si>
    <t>Colegio Altomonte Generacional</t>
  </si>
  <si>
    <t>2°B</t>
  </si>
  <si>
    <t>Colegio Castelgandolfo</t>
  </si>
  <si>
    <t>SCL | FLN_Regular_15/12/2026</t>
  </si>
  <si>
    <t>Colegio Carmen Teresiano 2026</t>
  </si>
  <si>
    <t>1ero medio</t>
  </si>
  <si>
    <t>Instituto Lasalle la Florida 2 A</t>
  </si>
  <si>
    <t>2a</t>
  </si>
  <si>
    <t>Colegio San Luis</t>
  </si>
  <si>
    <t>Colegio Pumahue Curauma</t>
  </si>
  <si>
    <t>Pumahue Temuco</t>
  </si>
  <si>
    <t>Netland School</t>
  </si>
  <si>
    <t>IV A</t>
  </si>
  <si>
    <t>IV D</t>
  </si>
  <si>
    <t>Colegio Arauco</t>
  </si>
  <si>
    <t>1 pax en silla de ruedas</t>
  </si>
  <si>
    <t>Colegio Manquecura Ciudad del Este 2b</t>
  </si>
  <si>
    <t>2B</t>
  </si>
  <si>
    <t>Colegio Humberstone</t>
  </si>
  <si>
    <t>4 ° C</t>
  </si>
  <si>
    <t>Instituto Obiispo Silva Lezaeta</t>
  </si>
  <si>
    <t>4°D</t>
  </si>
  <si>
    <t>Colegio San Sebastian</t>
  </si>
  <si>
    <t>H2_SCL | FLN_Charter_6_15/12/2026</t>
  </si>
  <si>
    <t>Colegio Eagle School</t>
  </si>
  <si>
    <t>4°B</t>
  </si>
  <si>
    <t>LA_ANF | FLN_Charter_3_15/12/2026</t>
  </si>
  <si>
    <t>Colegio Filipense 2doa</t>
  </si>
  <si>
    <t>Segundo A</t>
  </si>
  <si>
    <t>LA_SCL | FLN_Charter_6_15/12/2026</t>
  </si>
  <si>
    <t>LA_SCL | FLN_Charter_5_15/12/2026</t>
  </si>
  <si>
    <t>Colegio Maria Auxiliadora</t>
  </si>
  <si>
    <t>3 ° B</t>
  </si>
  <si>
    <t>Academia Bajo Molle</t>
  </si>
  <si>
    <t>4° A</t>
  </si>
  <si>
    <t>Colegio Manquecura Ciudad de Los Valles 2c</t>
  </si>
  <si>
    <t>Generacional Instituto Chacabuco Los Andes 2°b</t>
  </si>
  <si>
    <t>Colegio Academia Bajo Molle</t>
  </si>
  <si>
    <t>4 º B</t>
  </si>
  <si>
    <t>Generacional Instituto Chacabuco Los Andes</t>
  </si>
  <si>
    <t>Mayor de Peñalolén</t>
  </si>
  <si>
    <t>Compañia de Maria</t>
  </si>
  <si>
    <t>Colegio Seminario San Rafael</t>
  </si>
  <si>
    <t>2°D</t>
  </si>
  <si>
    <t>Colegio Antofagasta</t>
  </si>
  <si>
    <t>Tercero Medio Luis Bisquertt</t>
  </si>
  <si>
    <t>Colegio Universitario Antonio Rendic</t>
  </si>
  <si>
    <t>3° B 2026</t>
  </si>
  <si>
    <t>2° C</t>
  </si>
  <si>
    <t>GENERACION CUARTOS MEDIOS</t>
  </si>
  <si>
    <t>San Esteban</t>
  </si>
  <si>
    <t>2° A</t>
  </si>
  <si>
    <t>Colegio Amazing Grace</t>
  </si>
  <si>
    <t>Tercero Medio 2026</t>
  </si>
  <si>
    <t>Eagle College Generacion</t>
  </si>
  <si>
    <t>East &amp; West</t>
  </si>
  <si>
    <t>Colegio Francisco de la Selva</t>
  </si>
  <si>
    <t>Colegio Ingles San Jose</t>
  </si>
  <si>
    <t>4°A</t>
  </si>
  <si>
    <t>Colegio Curimon</t>
  </si>
  <si>
    <t>3º</t>
  </si>
  <si>
    <t>Pasajeros Charter Iqq Latam</t>
  </si>
  <si>
    <t>Colegio Almondale Lomas</t>
  </si>
  <si>
    <t>2 Discos + 1 Fiesta Grupal</t>
  </si>
  <si>
    <t>Colegio Harvest Christian School</t>
  </si>
  <si>
    <t>4 C</t>
  </si>
  <si>
    <t>SCL | FLN_Regular_03/01/2027</t>
  </si>
  <si>
    <t>Club de Conquistadores Centinela del Amanecer</t>
  </si>
  <si>
    <t>Grupo Scout</t>
  </si>
  <si>
    <t>LA_ZCO | FLN_Regular_11/01/2027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</si>
</sst>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;@"/>
    <numFmt numFmtId="166" formatCode="yyyy\-mm\-dd\ h:mm:ss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0000CC"/>
      <name val="Arial"/>
      <family val="2"/>
    </font>
    <font>
      <b/>
      <sz val="18"/>
      <color theme="1"/>
      <name val="Arial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FCCFF"/>
        <bgColor rgb="FFFFCCFF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CCCCFF"/>
        <bgColor rgb="FFCCCCFF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5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3" borderId="0" xfId="0" applyFill="1"/>
    <xf numFmtId="0" fontId="7" fillId="0" borderId="8" xfId="0" applyFont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6" fillId="12" borderId="13" xfId="0" applyFont="1" applyFill="1" applyBorder="1" applyAlignment="1">
      <alignment vertical="center" wrapText="1"/>
    </xf>
    <xf numFmtId="0" fontId="6" fillId="12" borderId="13" xfId="0" applyFont="1" applyFill="1" applyBorder="1" applyAlignment="1">
      <alignment horizontal="center" vertical="center" wrapText="1"/>
    </xf>
    <xf numFmtId="164" fontId="4" fillId="12" borderId="13" xfId="0" applyNumberFormat="1" applyFont="1" applyFill="1" applyBorder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 wrapText="1"/>
    </xf>
    <xf numFmtId="0" fontId="6" fillId="13" borderId="12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vertical="center" wrapText="1"/>
    </xf>
    <xf numFmtId="0" fontId="6" fillId="13" borderId="13" xfId="0" applyFont="1" applyFill="1" applyBorder="1" applyAlignment="1">
      <alignment horizontal="center" vertical="center" wrapText="1"/>
    </xf>
    <xf numFmtId="164" fontId="4" fillId="13" borderId="13" xfId="0" applyNumberFormat="1" applyFont="1" applyFill="1" applyBorder="1" applyAlignment="1">
      <alignment horizontal="center" vertical="center" wrapText="1"/>
    </xf>
    <xf numFmtId="0" fontId="4" fillId="13" borderId="14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vertical="center" wrapText="1"/>
    </xf>
    <xf numFmtId="0" fontId="6" fillId="14" borderId="13" xfId="0" applyFont="1" applyFill="1" applyBorder="1" applyAlignment="1">
      <alignment horizontal="center" vertical="center" wrapText="1"/>
    </xf>
    <xf numFmtId="164" fontId="4" fillId="14" borderId="13" xfId="0" applyNumberFormat="1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horizontal="center" vertical="center"/>
    </xf>
    <xf numFmtId="0" fontId="6" fillId="15" borderId="13" xfId="0" applyFont="1" applyFill="1" applyBorder="1" applyAlignment="1">
      <alignment vertical="center" wrapText="1"/>
    </xf>
    <xf numFmtId="0" fontId="6" fillId="15" borderId="13" xfId="0" applyFont="1" applyFill="1" applyBorder="1" applyAlignment="1">
      <alignment horizontal="center" vertical="center" wrapText="1"/>
    </xf>
    <xf numFmtId="164" fontId="4" fillId="15" borderId="13" xfId="0" applyNumberFormat="1" applyFont="1" applyFill="1" applyBorder="1" applyAlignment="1">
      <alignment horizontal="center" vertical="center" wrapText="1"/>
    </xf>
    <xf numFmtId="0" fontId="4" fillId="15" borderId="14" xfId="0" applyFont="1" applyFill="1" applyBorder="1" applyAlignment="1">
      <alignment horizontal="center" vertical="center" wrapText="1"/>
    </xf>
    <xf numFmtId="0" fontId="6" fillId="16" borderId="12" xfId="0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vertical="center" wrapText="1"/>
    </xf>
    <xf numFmtId="0" fontId="6" fillId="16" borderId="13" xfId="0" applyFont="1" applyFill="1" applyBorder="1" applyAlignment="1">
      <alignment horizontal="center" vertical="center" wrapText="1"/>
    </xf>
    <xf numFmtId="164" fontId="4" fillId="16" borderId="13" xfId="0" applyNumberFormat="1" applyFont="1" applyFill="1" applyBorder="1" applyAlignment="1">
      <alignment horizontal="center" vertical="center" wrapText="1"/>
    </xf>
    <xf numFmtId="0" fontId="4" fillId="16" borderId="14" xfId="0" applyFont="1" applyFill="1" applyBorder="1" applyAlignment="1">
      <alignment horizontal="center" vertical="center" wrapText="1"/>
    </xf>
    <xf numFmtId="0" fontId="6" fillId="17" borderId="12" xfId="0" applyFont="1" applyFill="1" applyBorder="1" applyAlignment="1">
      <alignment horizontal="center" vertical="center"/>
    </xf>
    <xf numFmtId="0" fontId="6" fillId="17" borderId="13" xfId="0" applyFont="1" applyFill="1" applyBorder="1" applyAlignment="1">
      <alignment vertical="center" wrapText="1"/>
    </xf>
    <xf numFmtId="0" fontId="6" fillId="17" borderId="13" xfId="0" applyFont="1" applyFill="1" applyBorder="1" applyAlignment="1">
      <alignment horizontal="center" vertical="center" wrapText="1"/>
    </xf>
    <xf numFmtId="164" fontId="4" fillId="17" borderId="13" xfId="0" applyNumberFormat="1" applyFont="1" applyFill="1" applyBorder="1" applyAlignment="1">
      <alignment horizontal="center" vertical="center" wrapText="1"/>
    </xf>
    <xf numFmtId="0" fontId="4" fillId="17" borderId="14" xfId="0" applyFont="1" applyFill="1" applyBorder="1" applyAlignment="1">
      <alignment horizontal="center" vertical="center" wrapText="1"/>
    </xf>
    <xf numFmtId="0" fontId="6" fillId="12" borderId="35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left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/>
    </xf>
    <xf numFmtId="164" fontId="7" fillId="12" borderId="4" xfId="0" applyNumberFormat="1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0" fontId="6" fillId="13" borderId="35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/>
    </xf>
    <xf numFmtId="164" fontId="7" fillId="13" borderId="4" xfId="0" applyNumberFormat="1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6" fillId="14" borderId="35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/>
    </xf>
    <xf numFmtId="164" fontId="7" fillId="14" borderId="4" xfId="0" applyNumberFormat="1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0" fontId="6" fillId="15" borderId="35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left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6" borderId="35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7" borderId="35" xfId="0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left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5" fillId="0" borderId="0" xfId="0" applyFont="1"/>
    <xf numFmtId="166" fontId="0" fillId="0" borderId="0" xfId="0" applyNumberFormat="1"/>
    <xf numFmtId="164" fontId="4" fillId="17" borderId="13" xfId="0" applyNumberFormat="1" applyFont="1" applyFill="1" applyBorder="1" applyAlignment="1">
      <alignment horizontal="center" vertical="center" wrapText="1"/>
    </xf>
    <xf numFmtId="0" fontId="0" fillId="17" borderId="2" xfId="0" applyFill="1" applyBorder="1"/>
    <xf numFmtId="0" fontId="0" fillId="17" borderId="10" xfId="0" applyFill="1" applyBorder="1"/>
    <xf numFmtId="0" fontId="4" fillId="17" borderId="14" xfId="0" applyFont="1" applyFill="1" applyBorder="1" applyAlignment="1">
      <alignment horizontal="center" vertical="center" wrapText="1"/>
    </xf>
    <xf numFmtId="0" fontId="0" fillId="17" borderId="7" xfId="0" applyFill="1" applyBorder="1"/>
    <xf numFmtId="0" fontId="0" fillId="17" borderId="11" xfId="0" applyFill="1" applyBorder="1"/>
    <xf numFmtId="0" fontId="4" fillId="16" borderId="14" xfId="0" applyFont="1" applyFill="1" applyBorder="1" applyAlignment="1">
      <alignment horizontal="center" vertical="center" wrapText="1"/>
    </xf>
    <xf numFmtId="0" fontId="0" fillId="16" borderId="7" xfId="0" applyFill="1" applyBorder="1"/>
    <xf numFmtId="0" fontId="0" fillId="16" borderId="11" xfId="0" applyFill="1" applyBorder="1"/>
    <xf numFmtId="0" fontId="5" fillId="4" borderId="12" xfId="0" applyFont="1" applyFill="1" applyBorder="1" applyAlignment="1">
      <alignment horizontal="center" vertical="center"/>
    </xf>
    <xf numFmtId="0" fontId="0" fillId="0" borderId="18" xfId="0" applyBorder="1"/>
    <xf numFmtId="164" fontId="4" fillId="16" borderId="13" xfId="0" applyNumberFormat="1" applyFont="1" applyFill="1" applyBorder="1" applyAlignment="1">
      <alignment horizontal="center" vertical="center" wrapText="1"/>
    </xf>
    <xf numFmtId="0" fontId="0" fillId="16" borderId="2" xfId="0" applyFill="1" applyBorder="1"/>
    <xf numFmtId="0" fontId="0" fillId="16" borderId="10" xfId="0" applyFill="1" applyBorder="1"/>
    <xf numFmtId="164" fontId="4" fillId="14" borderId="13" xfId="0" applyNumberFormat="1" applyFont="1" applyFill="1" applyBorder="1" applyAlignment="1">
      <alignment horizontal="center" vertical="center" wrapText="1"/>
    </xf>
    <xf numFmtId="0" fontId="0" fillId="14" borderId="2" xfId="0" applyFill="1" applyBorder="1"/>
    <xf numFmtId="0" fontId="0" fillId="14" borderId="10" xfId="0" applyFill="1" applyBorder="1"/>
    <xf numFmtId="0" fontId="8" fillId="3" borderId="36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164" fontId="4" fillId="15" borderId="13" xfId="0" applyNumberFormat="1" applyFont="1" applyFill="1" applyBorder="1" applyAlignment="1">
      <alignment horizontal="center" vertical="center" wrapText="1"/>
    </xf>
    <xf numFmtId="0" fontId="0" fillId="15" borderId="10" xfId="0" applyFill="1" applyBorder="1"/>
    <xf numFmtId="0" fontId="4" fillId="15" borderId="14" xfId="0" applyFont="1" applyFill="1" applyBorder="1" applyAlignment="1">
      <alignment horizontal="center" vertical="center" wrapText="1"/>
    </xf>
    <xf numFmtId="0" fontId="0" fillId="15" borderId="11" xfId="0" applyFill="1" applyBorder="1"/>
    <xf numFmtId="0" fontId="4" fillId="14" borderId="14" xfId="0" applyFont="1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11" xfId="0" applyFill="1" applyBorder="1"/>
    <xf numFmtId="0" fontId="7" fillId="13" borderId="23" xfId="0" applyFont="1" applyFill="1" applyBorder="1" applyAlignment="1">
      <alignment horizontal="center" vertical="center"/>
    </xf>
    <xf numFmtId="0" fontId="0" fillId="13" borderId="37" xfId="0" applyFill="1" applyBorder="1"/>
    <xf numFmtId="0" fontId="0" fillId="13" borderId="38" xfId="0" applyFill="1" applyBorder="1"/>
    <xf numFmtId="0" fontId="7" fillId="12" borderId="4" xfId="0" applyFont="1" applyFill="1" applyBorder="1" applyAlignment="1">
      <alignment horizontal="center" vertical="center"/>
    </xf>
    <xf numFmtId="0" fontId="0" fillId="12" borderId="2" xfId="0" applyFill="1" applyBorder="1"/>
    <xf numFmtId="0" fontId="0" fillId="12" borderId="19" xfId="0" applyFill="1" applyBorder="1"/>
    <xf numFmtId="164" fontId="7" fillId="17" borderId="4" xfId="0" applyNumberFormat="1" applyFont="1" applyFill="1" applyBorder="1" applyAlignment="1">
      <alignment horizontal="center" vertical="center"/>
    </xf>
    <xf numFmtId="0" fontId="0" fillId="17" borderId="19" xfId="0" applyFill="1" applyBorder="1"/>
    <xf numFmtId="0" fontId="13" fillId="0" borderId="20" xfId="0" applyFont="1" applyBorder="1" applyAlignment="1">
      <alignment horizontal="center" vertical="center"/>
    </xf>
    <xf numFmtId="0" fontId="0" fillId="0" borderId="21" xfId="0" applyBorder="1"/>
    <xf numFmtId="0" fontId="7" fillId="15" borderId="4" xfId="0" applyFont="1" applyFill="1" applyBorder="1" applyAlignment="1">
      <alignment horizontal="center" vertical="center"/>
    </xf>
    <xf numFmtId="0" fontId="0" fillId="15" borderId="2" xfId="0" applyFill="1" applyBorder="1"/>
    <xf numFmtId="0" fontId="0" fillId="15" borderId="19" xfId="0" applyFill="1" applyBorder="1"/>
    <xf numFmtId="0" fontId="10" fillId="4" borderId="5" xfId="0" applyFont="1" applyFill="1" applyBorder="1" applyAlignment="1">
      <alignment horizontal="center" vertical="center"/>
    </xf>
    <xf numFmtId="0" fontId="0" fillId="0" borderId="2" xfId="0" applyBorder="1"/>
    <xf numFmtId="0" fontId="7" fillId="16" borderId="4" xfId="0" applyFont="1" applyFill="1" applyBorder="1" applyAlignment="1">
      <alignment horizontal="center" vertical="center"/>
    </xf>
    <xf numFmtId="0" fontId="0" fillId="16" borderId="19" xfId="0" applyFill="1" applyBorder="1"/>
    <xf numFmtId="0" fontId="7" fillId="14" borderId="4" xfId="0" applyFont="1" applyFill="1" applyBorder="1" applyAlignment="1">
      <alignment horizontal="center" vertical="center"/>
    </xf>
    <xf numFmtId="0" fontId="0" fillId="14" borderId="19" xfId="0" applyFill="1" applyBorder="1"/>
    <xf numFmtId="0" fontId="7" fillId="14" borderId="23" xfId="0" applyFont="1" applyFill="1" applyBorder="1" applyAlignment="1">
      <alignment horizontal="center" vertical="center"/>
    </xf>
    <xf numFmtId="0" fontId="0" fillId="14" borderId="37" xfId="0" applyFill="1" applyBorder="1"/>
    <xf numFmtId="0" fontId="0" fillId="14" borderId="38" xfId="0" applyFill="1" applyBorder="1"/>
    <xf numFmtId="0" fontId="7" fillId="17" borderId="4" xfId="0" applyFont="1" applyFill="1" applyBorder="1" applyAlignment="1">
      <alignment horizontal="center" vertical="center"/>
    </xf>
    <xf numFmtId="0" fontId="7" fillId="17" borderId="23" xfId="0" applyFont="1" applyFill="1" applyBorder="1" applyAlignment="1">
      <alignment horizontal="center" vertical="center"/>
    </xf>
    <xf numFmtId="0" fontId="0" fillId="17" borderId="37" xfId="0" applyFill="1" applyBorder="1"/>
    <xf numFmtId="0" fontId="0" fillId="17" borderId="38" xfId="0" applyFill="1" applyBorder="1"/>
    <xf numFmtId="0" fontId="7" fillId="13" borderId="4" xfId="0" applyFont="1" applyFill="1" applyBorder="1" applyAlignment="1">
      <alignment horizontal="center" vertical="center"/>
    </xf>
    <xf numFmtId="0" fontId="0" fillId="13" borderId="2" xfId="0" applyFill="1" applyBorder="1"/>
    <xf numFmtId="0" fontId="0" fillId="13" borderId="19" xfId="0" applyFill="1" applyBorder="1"/>
    <xf numFmtId="0" fontId="10" fillId="4" borderId="16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33" xfId="0" applyBorder="1"/>
    <xf numFmtId="0" fontId="0" fillId="0" borderId="34" xfId="0" applyBorder="1"/>
    <xf numFmtId="164" fontId="7" fillId="13" borderId="4" xfId="0" applyNumberFormat="1" applyFont="1" applyFill="1" applyBorder="1" applyAlignment="1">
      <alignment horizontal="center" vertical="center"/>
    </xf>
    <xf numFmtId="164" fontId="7" fillId="15" borderId="4" xfId="0" applyNumberFormat="1" applyFont="1" applyFill="1" applyBorder="1" applyAlignment="1">
      <alignment horizontal="center" vertical="center"/>
    </xf>
    <xf numFmtId="0" fontId="7" fillId="15" borderId="23" xfId="0" applyFont="1" applyFill="1" applyBorder="1" applyAlignment="1">
      <alignment horizontal="center" vertical="center"/>
    </xf>
    <xf numFmtId="0" fontId="0" fillId="15" borderId="37" xfId="0" applyFill="1" applyBorder="1"/>
    <xf numFmtId="0" fontId="0" fillId="15" borderId="38" xfId="0" applyFill="1" applyBorder="1"/>
    <xf numFmtId="0" fontId="7" fillId="16" borderId="23" xfId="0" applyFont="1" applyFill="1" applyBorder="1" applyAlignment="1">
      <alignment horizontal="center" vertical="center"/>
    </xf>
    <xf numFmtId="0" fontId="0" fillId="16" borderId="37" xfId="0" applyFill="1" applyBorder="1"/>
    <xf numFmtId="0" fontId="0" fillId="16" borderId="38" xfId="0" applyFill="1" applyBorder="1"/>
    <xf numFmtId="164" fontId="7" fillId="16" borderId="4" xfId="0" applyNumberFormat="1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0" fillId="0" borderId="31" xfId="0" applyBorder="1"/>
    <xf numFmtId="164" fontId="7" fillId="14" borderId="4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 wrapText="1"/>
    </xf>
    <xf numFmtId="0" fontId="0" fillId="0" borderId="32" xfId="0" applyBorder="1"/>
    <xf numFmtId="0" fontId="7" fillId="12" borderId="23" xfId="0" applyFont="1" applyFill="1" applyBorder="1" applyAlignment="1">
      <alignment horizontal="center" vertical="center"/>
    </xf>
    <xf numFmtId="0" fontId="0" fillId="12" borderId="37" xfId="0" applyFill="1" applyBorder="1"/>
    <xf numFmtId="0" fontId="0" fillId="12" borderId="38" xfId="0" applyFill="1" applyBorder="1"/>
    <xf numFmtId="164" fontId="7" fillId="12" borderId="4" xfId="0" applyNumberFormat="1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9" fillId="0" borderId="28" xfId="0" applyFont="1" applyBorder="1" applyAlignment="1">
      <alignment horizontal="center" vertical="center"/>
    </xf>
    <xf numFmtId="164" fontId="4" fillId="13" borderId="13" xfId="0" applyNumberFormat="1" applyFont="1" applyFill="1" applyBorder="1" applyAlignment="1">
      <alignment horizontal="center" vertical="center" wrapText="1"/>
    </xf>
    <xf numFmtId="0" fontId="0" fillId="13" borderId="10" xfId="0" applyFill="1" applyBorder="1"/>
    <xf numFmtId="0" fontId="4" fillId="13" borderId="14" xfId="0" applyFont="1" applyFill="1" applyBorder="1" applyAlignment="1">
      <alignment horizontal="center" vertical="center" wrapText="1"/>
    </xf>
    <xf numFmtId="0" fontId="0" fillId="13" borderId="7" xfId="0" applyFill="1" applyBorder="1"/>
    <xf numFmtId="0" fontId="0" fillId="13" borderId="11" xfId="0" applyFill="1" applyBorder="1"/>
    <xf numFmtId="0" fontId="4" fillId="12" borderId="14" xfId="0" applyFont="1" applyFill="1" applyBorder="1" applyAlignment="1">
      <alignment horizontal="center" vertical="center" wrapText="1"/>
    </xf>
    <xf numFmtId="0" fontId="0" fillId="12" borderId="7" xfId="0" applyFill="1" applyBorder="1"/>
    <xf numFmtId="0" fontId="0" fillId="12" borderId="11" xfId="0" applyFill="1" applyBorder="1"/>
    <xf numFmtId="164" fontId="4" fillId="12" borderId="13" xfId="0" applyNumberFormat="1" applyFont="1" applyFill="1" applyBorder="1" applyAlignment="1">
      <alignment horizontal="center" vertical="center" wrapText="1"/>
    </xf>
    <xf numFmtId="0" fontId="0" fillId="12" borderId="10" xfId="0" applyFill="1" applyBorder="1"/>
    <xf numFmtId="0" fontId="0" fillId="15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61"/>
  <sheetViews>
    <sheetView workbookViewId="0">
      <selection activeCell="D7" sqref="D7:E7"/>
    </sheetView>
  </sheetViews>
  <sheetFormatPr defaultRowHeight="14.4" x14ac:dyDescent="0.3"/>
  <cols>
    <col min="1" max="1" width="3.44140625" customWidth="1"/>
    <col min="2" max="2" width="3.44140625" style="9" bestFit="1" customWidth="1"/>
    <col min="3" max="3" width="37.6640625" style="2" bestFit="1" customWidth="1"/>
    <col min="4" max="4" width="9.5546875" style="2" bestFit="1" customWidth="1"/>
    <col min="5" max="5" width="10.33203125" style="2" bestFit="1" customWidth="1"/>
    <col min="6" max="6" width="7" style="2" bestFit="1" customWidth="1"/>
    <col min="7" max="7" width="5.44140625" style="2" bestFit="1" customWidth="1"/>
    <col min="8" max="8" width="11.6640625" bestFit="1" customWidth="1"/>
    <col min="9" max="9" width="12.33203125" bestFit="1" customWidth="1"/>
    <col min="10" max="10" width="24.33203125" customWidth="1"/>
  </cols>
  <sheetData>
    <row r="1" spans="2:10" ht="42" customHeight="1" thickBot="1" x14ac:dyDescent="0.35">
      <c r="B1" s="148" t="s">
        <v>108</v>
      </c>
      <c r="C1" s="149"/>
      <c r="D1" s="149"/>
      <c r="E1" s="149"/>
      <c r="F1" s="149"/>
      <c r="G1" s="149"/>
      <c r="H1" s="149"/>
      <c r="I1" s="149"/>
      <c r="J1" s="149"/>
    </row>
    <row r="2" spans="2:10" s="3" customFormat="1" ht="24.6" customHeight="1" x14ac:dyDescent="0.3">
      <c r="B2" s="192" t="s">
        <v>1</v>
      </c>
      <c r="C2" s="193"/>
      <c r="D2" s="153" t="s">
        <v>2</v>
      </c>
      <c r="E2" s="153" t="s">
        <v>3</v>
      </c>
      <c r="F2" s="185" t="s">
        <v>109</v>
      </c>
      <c r="G2" s="182" t="s">
        <v>5</v>
      </c>
      <c r="H2" s="186" t="s">
        <v>9</v>
      </c>
      <c r="I2" s="169" t="s">
        <v>110</v>
      </c>
      <c r="J2" s="170"/>
    </row>
    <row r="3" spans="2:10" s="3" customFormat="1" ht="15" customHeight="1" thickBot="1" x14ac:dyDescent="0.35">
      <c r="B3" s="194"/>
      <c r="C3" s="195"/>
      <c r="D3" s="154"/>
      <c r="E3" s="154"/>
      <c r="F3" s="154"/>
      <c r="G3" s="183"/>
      <c r="H3" s="187"/>
      <c r="I3" s="171"/>
      <c r="J3" s="172"/>
    </row>
    <row r="4" spans="2:10" ht="27" customHeight="1" x14ac:dyDescent="0.3">
      <c r="B4" s="69">
        <v>1</v>
      </c>
      <c r="C4" s="70" t="s">
        <v>10</v>
      </c>
      <c r="D4" s="71">
        <v>57</v>
      </c>
      <c r="E4" s="71">
        <v>6</v>
      </c>
      <c r="F4" s="71">
        <f t="shared" ref="F4:F67" si="0">D4+E4</f>
        <v>63</v>
      </c>
      <c r="G4" s="71">
        <v>3</v>
      </c>
      <c r="H4" s="72">
        <f>SUM(F4:F4)+SUM(G4:G4)</f>
        <v>66</v>
      </c>
      <c r="I4" s="73">
        <v>46285</v>
      </c>
      <c r="J4" s="74" t="s">
        <v>111</v>
      </c>
    </row>
    <row r="5" spans="2:10" ht="27" customHeight="1" x14ac:dyDescent="0.3">
      <c r="B5" s="75">
        <v>1</v>
      </c>
      <c r="C5" s="76" t="s">
        <v>10</v>
      </c>
      <c r="D5" s="77">
        <v>57</v>
      </c>
      <c r="E5" s="77">
        <v>6</v>
      </c>
      <c r="F5" s="77">
        <f t="shared" si="0"/>
        <v>63</v>
      </c>
      <c r="G5" s="77">
        <v>3</v>
      </c>
      <c r="H5" s="78">
        <f>SUM(F5:F5)+SUM(G5:G5)</f>
        <v>66</v>
      </c>
      <c r="I5" s="79">
        <v>46287</v>
      </c>
      <c r="J5" s="80" t="s">
        <v>112</v>
      </c>
    </row>
    <row r="6" spans="2:10" ht="27" customHeight="1" thickBot="1" x14ac:dyDescent="0.35">
      <c r="B6" s="81">
        <v>1</v>
      </c>
      <c r="C6" s="82" t="s">
        <v>10</v>
      </c>
      <c r="D6" s="83">
        <v>57</v>
      </c>
      <c r="E6" s="83">
        <v>6</v>
      </c>
      <c r="F6" s="83">
        <f t="shared" si="0"/>
        <v>63</v>
      </c>
      <c r="G6" s="83">
        <v>3</v>
      </c>
      <c r="H6" s="84">
        <f>SUM(F6:F6)+SUM(G6:G6)</f>
        <v>66</v>
      </c>
      <c r="I6" s="85">
        <v>46288</v>
      </c>
      <c r="J6" s="86" t="s">
        <v>113</v>
      </c>
    </row>
    <row r="7" spans="2:10" ht="20.399999999999999" customHeight="1" x14ac:dyDescent="0.3">
      <c r="B7" s="87">
        <v>1</v>
      </c>
      <c r="C7" s="88" t="s">
        <v>14</v>
      </c>
      <c r="D7" s="89">
        <v>30</v>
      </c>
      <c r="E7" s="89">
        <v>3</v>
      </c>
      <c r="F7" s="89">
        <f t="shared" si="0"/>
        <v>33</v>
      </c>
      <c r="G7" s="89">
        <v>2</v>
      </c>
      <c r="H7" s="150">
        <f>SUM(F7:F30)+SUM(G7:G30)</f>
        <v>777</v>
      </c>
      <c r="I7" s="174">
        <v>46358</v>
      </c>
      <c r="J7" s="175" t="s">
        <v>114</v>
      </c>
    </row>
    <row r="8" spans="2:10" ht="20.399999999999999" customHeight="1" x14ac:dyDescent="0.3">
      <c r="B8" s="87">
        <v>2</v>
      </c>
      <c r="C8" s="88" t="s">
        <v>16</v>
      </c>
      <c r="D8" s="89">
        <v>24</v>
      </c>
      <c r="E8" s="89">
        <v>2</v>
      </c>
      <c r="F8" s="89">
        <f t="shared" si="0"/>
        <v>26</v>
      </c>
      <c r="G8" s="89">
        <v>2</v>
      </c>
      <c r="H8" s="151"/>
      <c r="I8" s="151"/>
      <c r="J8" s="176"/>
    </row>
    <row r="9" spans="2:10" ht="20.399999999999999" customHeight="1" x14ac:dyDescent="0.3">
      <c r="B9" s="87">
        <v>3</v>
      </c>
      <c r="C9" s="88" t="s">
        <v>17</v>
      </c>
      <c r="D9" s="89">
        <v>20</v>
      </c>
      <c r="E9" s="89">
        <v>2</v>
      </c>
      <c r="F9" s="89">
        <f t="shared" si="0"/>
        <v>22</v>
      </c>
      <c r="G9" s="89">
        <v>1</v>
      </c>
      <c r="H9" s="151"/>
      <c r="I9" s="151"/>
      <c r="J9" s="176"/>
    </row>
    <row r="10" spans="2:10" ht="20.399999999999999" customHeight="1" x14ac:dyDescent="0.3">
      <c r="B10" s="87">
        <v>4</v>
      </c>
      <c r="C10" s="88" t="s">
        <v>18</v>
      </c>
      <c r="D10" s="89">
        <v>27</v>
      </c>
      <c r="E10" s="89">
        <v>0</v>
      </c>
      <c r="F10" s="89">
        <f t="shared" si="0"/>
        <v>27</v>
      </c>
      <c r="G10" s="89">
        <v>1</v>
      </c>
      <c r="H10" s="151"/>
      <c r="I10" s="151"/>
      <c r="J10" s="176"/>
    </row>
    <row r="11" spans="2:10" ht="20.399999999999999" customHeight="1" x14ac:dyDescent="0.3">
      <c r="B11" s="87">
        <v>5</v>
      </c>
      <c r="C11" s="88" t="s">
        <v>19</v>
      </c>
      <c r="D11" s="89">
        <v>79</v>
      </c>
      <c r="E11" s="89">
        <v>0</v>
      </c>
      <c r="F11" s="89">
        <f t="shared" si="0"/>
        <v>79</v>
      </c>
      <c r="G11" s="89">
        <v>4</v>
      </c>
      <c r="H11" s="151"/>
      <c r="I11" s="151"/>
      <c r="J11" s="176"/>
    </row>
    <row r="12" spans="2:10" ht="20.399999999999999" customHeight="1" x14ac:dyDescent="0.3">
      <c r="B12" s="87">
        <v>6</v>
      </c>
      <c r="C12" s="88" t="s">
        <v>20</v>
      </c>
      <c r="D12" s="89">
        <v>24</v>
      </c>
      <c r="E12" s="89">
        <v>4</v>
      </c>
      <c r="F12" s="89">
        <f t="shared" si="0"/>
        <v>28</v>
      </c>
      <c r="G12" s="89">
        <v>0</v>
      </c>
      <c r="H12" s="151"/>
      <c r="I12" s="151"/>
      <c r="J12" s="176"/>
    </row>
    <row r="13" spans="2:10" ht="20.399999999999999" customHeight="1" x14ac:dyDescent="0.3">
      <c r="B13" s="87">
        <v>7</v>
      </c>
      <c r="C13" s="88" t="s">
        <v>21</v>
      </c>
      <c r="D13" s="89">
        <v>35</v>
      </c>
      <c r="E13" s="89">
        <v>7</v>
      </c>
      <c r="F13" s="89">
        <f t="shared" si="0"/>
        <v>42</v>
      </c>
      <c r="G13" s="89">
        <v>3</v>
      </c>
      <c r="H13" s="151"/>
      <c r="I13" s="151"/>
      <c r="J13" s="176"/>
    </row>
    <row r="14" spans="2:10" ht="20.399999999999999" customHeight="1" x14ac:dyDescent="0.3">
      <c r="B14" s="87">
        <v>8</v>
      </c>
      <c r="C14" s="88" t="s">
        <v>22</v>
      </c>
      <c r="D14" s="89">
        <v>24</v>
      </c>
      <c r="E14" s="89">
        <v>2</v>
      </c>
      <c r="F14" s="89">
        <f t="shared" si="0"/>
        <v>26</v>
      </c>
      <c r="G14" s="89">
        <v>0</v>
      </c>
      <c r="H14" s="151"/>
      <c r="I14" s="151"/>
      <c r="J14" s="176"/>
    </row>
    <row r="15" spans="2:10" ht="20.399999999999999" customHeight="1" x14ac:dyDescent="0.3">
      <c r="B15" s="87">
        <v>9</v>
      </c>
      <c r="C15" s="88" t="s">
        <v>24</v>
      </c>
      <c r="D15" s="89">
        <v>31</v>
      </c>
      <c r="E15" s="89">
        <v>7</v>
      </c>
      <c r="F15" s="89">
        <f t="shared" si="0"/>
        <v>38</v>
      </c>
      <c r="G15" s="89">
        <v>0</v>
      </c>
      <c r="H15" s="151"/>
      <c r="I15" s="151"/>
      <c r="J15" s="176"/>
    </row>
    <row r="16" spans="2:10" ht="20.399999999999999" customHeight="1" x14ac:dyDescent="0.3">
      <c r="B16" s="87">
        <v>10</v>
      </c>
      <c r="C16" s="88" t="s">
        <v>25</v>
      </c>
      <c r="D16" s="89">
        <v>29</v>
      </c>
      <c r="E16" s="89">
        <v>3</v>
      </c>
      <c r="F16" s="89">
        <f t="shared" si="0"/>
        <v>32</v>
      </c>
      <c r="G16" s="89">
        <v>1</v>
      </c>
      <c r="H16" s="151"/>
      <c r="I16" s="151"/>
      <c r="J16" s="176"/>
    </row>
    <row r="17" spans="2:10" ht="20.399999999999999" customHeight="1" x14ac:dyDescent="0.3">
      <c r="B17" s="87">
        <v>11</v>
      </c>
      <c r="C17" s="88" t="s">
        <v>26</v>
      </c>
      <c r="D17" s="89">
        <v>20</v>
      </c>
      <c r="E17" s="89">
        <v>0</v>
      </c>
      <c r="F17" s="89">
        <f t="shared" si="0"/>
        <v>20</v>
      </c>
      <c r="G17" s="89">
        <v>1</v>
      </c>
      <c r="H17" s="151"/>
      <c r="I17" s="151"/>
      <c r="J17" s="176"/>
    </row>
    <row r="18" spans="2:10" ht="20.399999999999999" customHeight="1" x14ac:dyDescent="0.3">
      <c r="B18" s="87">
        <v>12</v>
      </c>
      <c r="C18" s="88" t="s">
        <v>27</v>
      </c>
      <c r="D18" s="89">
        <v>25</v>
      </c>
      <c r="E18" s="89">
        <v>0</v>
      </c>
      <c r="F18" s="89">
        <f t="shared" si="0"/>
        <v>25</v>
      </c>
      <c r="G18" s="89">
        <v>2</v>
      </c>
      <c r="H18" s="151"/>
      <c r="I18" s="151"/>
      <c r="J18" s="176"/>
    </row>
    <row r="19" spans="2:10" ht="20.399999999999999" customHeight="1" x14ac:dyDescent="0.3">
      <c r="B19" s="87">
        <v>13</v>
      </c>
      <c r="C19" s="88" t="s">
        <v>28</v>
      </c>
      <c r="D19" s="89">
        <v>75</v>
      </c>
      <c r="E19" s="89">
        <v>0</v>
      </c>
      <c r="F19" s="89">
        <f t="shared" si="0"/>
        <v>75</v>
      </c>
      <c r="G19" s="89">
        <v>4</v>
      </c>
      <c r="H19" s="151"/>
      <c r="I19" s="151"/>
      <c r="J19" s="176"/>
    </row>
    <row r="20" spans="2:10" ht="20.399999999999999" customHeight="1" x14ac:dyDescent="0.3">
      <c r="B20" s="87">
        <v>14</v>
      </c>
      <c r="C20" s="88" t="s">
        <v>29</v>
      </c>
      <c r="D20" s="89">
        <v>24</v>
      </c>
      <c r="E20" s="89">
        <v>2</v>
      </c>
      <c r="F20" s="89">
        <f t="shared" si="0"/>
        <v>26</v>
      </c>
      <c r="G20" s="89">
        <v>0</v>
      </c>
      <c r="H20" s="151"/>
      <c r="I20" s="151"/>
      <c r="J20" s="176"/>
    </row>
    <row r="21" spans="2:10" ht="20.399999999999999" customHeight="1" x14ac:dyDescent="0.3">
      <c r="B21" s="87">
        <v>15</v>
      </c>
      <c r="C21" s="88" t="s">
        <v>30</v>
      </c>
      <c r="D21" s="89">
        <v>27</v>
      </c>
      <c r="E21" s="89">
        <v>4</v>
      </c>
      <c r="F21" s="89">
        <f t="shared" si="0"/>
        <v>31</v>
      </c>
      <c r="G21" s="89">
        <v>2</v>
      </c>
      <c r="H21" s="151"/>
      <c r="I21" s="151"/>
      <c r="J21" s="176"/>
    </row>
    <row r="22" spans="2:10" ht="20.399999999999999" customHeight="1" x14ac:dyDescent="0.3">
      <c r="B22" s="87">
        <v>16</v>
      </c>
      <c r="C22" s="88" t="s">
        <v>31</v>
      </c>
      <c r="D22" s="89">
        <v>19</v>
      </c>
      <c r="E22" s="89">
        <v>4</v>
      </c>
      <c r="F22" s="89">
        <f t="shared" si="0"/>
        <v>23</v>
      </c>
      <c r="G22" s="89">
        <v>1</v>
      </c>
      <c r="H22" s="151"/>
      <c r="I22" s="151"/>
      <c r="J22" s="176"/>
    </row>
    <row r="23" spans="2:10" ht="20.399999999999999" customHeight="1" x14ac:dyDescent="0.3">
      <c r="B23" s="87">
        <v>17</v>
      </c>
      <c r="C23" s="88" t="s">
        <v>32</v>
      </c>
      <c r="D23" s="89">
        <v>9</v>
      </c>
      <c r="E23" s="89">
        <v>0</v>
      </c>
      <c r="F23" s="89">
        <f t="shared" si="0"/>
        <v>9</v>
      </c>
      <c r="G23" s="89">
        <v>1</v>
      </c>
      <c r="H23" s="151"/>
      <c r="I23" s="151"/>
      <c r="J23" s="176"/>
    </row>
    <row r="24" spans="2:10" ht="20.399999999999999" customHeight="1" x14ac:dyDescent="0.3">
      <c r="B24" s="87">
        <v>18</v>
      </c>
      <c r="C24" s="88" t="s">
        <v>33</v>
      </c>
      <c r="D24" s="89">
        <v>18</v>
      </c>
      <c r="E24" s="89">
        <v>4</v>
      </c>
      <c r="F24" s="89">
        <f t="shared" si="0"/>
        <v>22</v>
      </c>
      <c r="G24" s="89">
        <v>2</v>
      </c>
      <c r="H24" s="151"/>
      <c r="I24" s="151"/>
      <c r="J24" s="176"/>
    </row>
    <row r="25" spans="2:10" ht="20.399999999999999" customHeight="1" thickBot="1" x14ac:dyDescent="0.35">
      <c r="B25" s="87">
        <v>19</v>
      </c>
      <c r="C25" s="88" t="s">
        <v>34</v>
      </c>
      <c r="D25" s="89">
        <v>23</v>
      </c>
      <c r="E25" s="89">
        <v>4</v>
      </c>
      <c r="F25" s="89">
        <f t="shared" si="0"/>
        <v>27</v>
      </c>
      <c r="G25" s="89">
        <v>0</v>
      </c>
      <c r="H25" s="151"/>
      <c r="I25" s="151"/>
      <c r="J25" s="176"/>
    </row>
    <row r="26" spans="2:10" ht="20.399999999999999" customHeight="1" x14ac:dyDescent="0.3">
      <c r="B26" s="87">
        <v>20</v>
      </c>
      <c r="C26" s="88" t="s">
        <v>36</v>
      </c>
      <c r="D26" s="89">
        <v>46</v>
      </c>
      <c r="E26" s="89">
        <v>0</v>
      </c>
      <c r="F26" s="89">
        <f t="shared" si="0"/>
        <v>46</v>
      </c>
      <c r="G26" s="89">
        <v>2</v>
      </c>
      <c r="H26" s="151"/>
      <c r="I26" s="151"/>
      <c r="J26" s="176"/>
    </row>
    <row r="27" spans="2:10" ht="20.399999999999999" customHeight="1" x14ac:dyDescent="0.3">
      <c r="B27" s="87">
        <v>21</v>
      </c>
      <c r="C27" s="88" t="s">
        <v>38</v>
      </c>
      <c r="D27" s="89">
        <v>18</v>
      </c>
      <c r="E27" s="89">
        <v>4</v>
      </c>
      <c r="F27" s="89">
        <f t="shared" si="0"/>
        <v>22</v>
      </c>
      <c r="G27" s="89">
        <v>0</v>
      </c>
      <c r="H27" s="151"/>
      <c r="I27" s="151"/>
      <c r="J27" s="176"/>
    </row>
    <row r="28" spans="2:10" ht="20.399999999999999" customHeight="1" x14ac:dyDescent="0.3">
      <c r="B28" s="87">
        <v>22</v>
      </c>
      <c r="C28" s="88" t="s">
        <v>39</v>
      </c>
      <c r="D28" s="89">
        <v>22</v>
      </c>
      <c r="E28" s="89">
        <v>0</v>
      </c>
      <c r="F28" s="89">
        <f t="shared" si="0"/>
        <v>22</v>
      </c>
      <c r="G28" s="89">
        <v>1</v>
      </c>
      <c r="H28" s="151"/>
      <c r="I28" s="151"/>
      <c r="J28" s="176"/>
    </row>
    <row r="29" spans="2:10" ht="20.399999999999999" customHeight="1" x14ac:dyDescent="0.3">
      <c r="B29" s="87">
        <v>23</v>
      </c>
      <c r="C29" s="88" t="s">
        <v>40</v>
      </c>
      <c r="D29" s="89">
        <v>24</v>
      </c>
      <c r="E29" s="89">
        <v>0</v>
      </c>
      <c r="F29" s="89">
        <f t="shared" si="0"/>
        <v>24</v>
      </c>
      <c r="G29" s="89">
        <v>1</v>
      </c>
      <c r="H29" s="151"/>
      <c r="I29" s="151"/>
      <c r="J29" s="176"/>
    </row>
    <row r="30" spans="2:10" ht="20.399999999999999" customHeight="1" x14ac:dyDescent="0.3">
      <c r="B30" s="87">
        <v>24</v>
      </c>
      <c r="C30" s="88" t="s">
        <v>41</v>
      </c>
      <c r="D30" s="89">
        <v>20</v>
      </c>
      <c r="E30" s="89">
        <v>0</v>
      </c>
      <c r="F30" s="89">
        <f t="shared" si="0"/>
        <v>20</v>
      </c>
      <c r="G30" s="89">
        <v>1</v>
      </c>
      <c r="H30" s="152"/>
      <c r="I30" s="152"/>
      <c r="J30" s="177"/>
    </row>
    <row r="31" spans="2:10" ht="20.399999999999999" customHeight="1" x14ac:dyDescent="0.3">
      <c r="B31" s="90">
        <v>1</v>
      </c>
      <c r="C31" s="91" t="s">
        <v>14</v>
      </c>
      <c r="D31" s="92">
        <v>30</v>
      </c>
      <c r="E31" s="92">
        <v>3</v>
      </c>
      <c r="F31" s="92">
        <f t="shared" si="0"/>
        <v>33</v>
      </c>
      <c r="G31" s="92">
        <v>2</v>
      </c>
      <c r="H31" s="155">
        <f>SUM(F31:F54)+SUM(G31:G54)</f>
        <v>777</v>
      </c>
      <c r="I31" s="181">
        <v>46359</v>
      </c>
      <c r="J31" s="178" t="s">
        <v>115</v>
      </c>
    </row>
    <row r="32" spans="2:10" ht="20.399999999999999" customHeight="1" x14ac:dyDescent="0.3">
      <c r="B32" s="90">
        <v>2</v>
      </c>
      <c r="C32" s="91" t="s">
        <v>16</v>
      </c>
      <c r="D32" s="92">
        <v>24</v>
      </c>
      <c r="E32" s="92">
        <v>2</v>
      </c>
      <c r="F32" s="92">
        <f t="shared" si="0"/>
        <v>26</v>
      </c>
      <c r="G32" s="92">
        <v>2</v>
      </c>
      <c r="H32" s="125"/>
      <c r="I32" s="125"/>
      <c r="J32" s="179"/>
    </row>
    <row r="33" spans="2:10" ht="20.399999999999999" customHeight="1" x14ac:dyDescent="0.3">
      <c r="B33" s="90">
        <v>3</v>
      </c>
      <c r="C33" s="91" t="s">
        <v>17</v>
      </c>
      <c r="D33" s="92">
        <v>20</v>
      </c>
      <c r="E33" s="92">
        <v>2</v>
      </c>
      <c r="F33" s="92">
        <f t="shared" si="0"/>
        <v>22</v>
      </c>
      <c r="G33" s="92">
        <v>1</v>
      </c>
      <c r="H33" s="125"/>
      <c r="I33" s="125"/>
      <c r="J33" s="179"/>
    </row>
    <row r="34" spans="2:10" ht="20.399999999999999" customHeight="1" x14ac:dyDescent="0.3">
      <c r="B34" s="90">
        <v>4</v>
      </c>
      <c r="C34" s="91" t="s">
        <v>18</v>
      </c>
      <c r="D34" s="92">
        <v>27</v>
      </c>
      <c r="E34" s="92">
        <v>0</v>
      </c>
      <c r="F34" s="92">
        <f t="shared" si="0"/>
        <v>27</v>
      </c>
      <c r="G34" s="92">
        <v>1</v>
      </c>
      <c r="H34" s="125"/>
      <c r="I34" s="125"/>
      <c r="J34" s="179"/>
    </row>
    <row r="35" spans="2:10" ht="20.399999999999999" customHeight="1" x14ac:dyDescent="0.3">
      <c r="B35" s="90">
        <v>5</v>
      </c>
      <c r="C35" s="91" t="s">
        <v>19</v>
      </c>
      <c r="D35" s="92">
        <v>79</v>
      </c>
      <c r="E35" s="92">
        <v>0</v>
      </c>
      <c r="F35" s="92">
        <f t="shared" si="0"/>
        <v>79</v>
      </c>
      <c r="G35" s="92">
        <v>4</v>
      </c>
      <c r="H35" s="125"/>
      <c r="I35" s="125"/>
      <c r="J35" s="179"/>
    </row>
    <row r="36" spans="2:10" ht="20.399999999999999" customHeight="1" x14ac:dyDescent="0.3">
      <c r="B36" s="90">
        <v>6</v>
      </c>
      <c r="C36" s="91" t="s">
        <v>20</v>
      </c>
      <c r="D36" s="92">
        <v>24</v>
      </c>
      <c r="E36" s="92">
        <v>4</v>
      </c>
      <c r="F36" s="92">
        <f t="shared" si="0"/>
        <v>28</v>
      </c>
      <c r="G36" s="92">
        <v>0</v>
      </c>
      <c r="H36" s="125"/>
      <c r="I36" s="125"/>
      <c r="J36" s="179"/>
    </row>
    <row r="37" spans="2:10" ht="20.399999999999999" customHeight="1" x14ac:dyDescent="0.3">
      <c r="B37" s="90">
        <v>7</v>
      </c>
      <c r="C37" s="91" t="s">
        <v>21</v>
      </c>
      <c r="D37" s="92">
        <v>35</v>
      </c>
      <c r="E37" s="92">
        <v>7</v>
      </c>
      <c r="F37" s="92">
        <f t="shared" si="0"/>
        <v>42</v>
      </c>
      <c r="G37" s="92">
        <v>3</v>
      </c>
      <c r="H37" s="125"/>
      <c r="I37" s="125"/>
      <c r="J37" s="179"/>
    </row>
    <row r="38" spans="2:10" ht="20.399999999999999" customHeight="1" thickBot="1" x14ac:dyDescent="0.35">
      <c r="B38" s="90">
        <v>8</v>
      </c>
      <c r="C38" s="91" t="s">
        <v>22</v>
      </c>
      <c r="D38" s="92">
        <v>24</v>
      </c>
      <c r="E38" s="92">
        <v>2</v>
      </c>
      <c r="F38" s="92">
        <f t="shared" si="0"/>
        <v>26</v>
      </c>
      <c r="G38" s="92">
        <v>0</v>
      </c>
      <c r="H38" s="125"/>
      <c r="I38" s="125"/>
      <c r="J38" s="179"/>
    </row>
    <row r="39" spans="2:10" ht="20.399999999999999" customHeight="1" x14ac:dyDescent="0.3">
      <c r="B39" s="90">
        <v>9</v>
      </c>
      <c r="C39" s="91" t="s">
        <v>24</v>
      </c>
      <c r="D39" s="92">
        <v>31</v>
      </c>
      <c r="E39" s="92">
        <v>7</v>
      </c>
      <c r="F39" s="92">
        <f t="shared" si="0"/>
        <v>38</v>
      </c>
      <c r="G39" s="92">
        <v>0</v>
      </c>
      <c r="H39" s="125"/>
      <c r="I39" s="125"/>
      <c r="J39" s="179"/>
    </row>
    <row r="40" spans="2:10" ht="20.399999999999999" customHeight="1" x14ac:dyDescent="0.3">
      <c r="B40" s="90">
        <v>10</v>
      </c>
      <c r="C40" s="91" t="s">
        <v>25</v>
      </c>
      <c r="D40" s="92">
        <v>29</v>
      </c>
      <c r="E40" s="92">
        <v>3</v>
      </c>
      <c r="F40" s="92">
        <f t="shared" si="0"/>
        <v>32</v>
      </c>
      <c r="G40" s="92">
        <v>1</v>
      </c>
      <c r="H40" s="125"/>
      <c r="I40" s="125"/>
      <c r="J40" s="179"/>
    </row>
    <row r="41" spans="2:10" ht="20.399999999999999" customHeight="1" x14ac:dyDescent="0.3">
      <c r="B41" s="90">
        <v>11</v>
      </c>
      <c r="C41" s="91" t="s">
        <v>26</v>
      </c>
      <c r="D41" s="92">
        <v>20</v>
      </c>
      <c r="E41" s="92">
        <v>0</v>
      </c>
      <c r="F41" s="92">
        <f t="shared" si="0"/>
        <v>20</v>
      </c>
      <c r="G41" s="92">
        <v>1</v>
      </c>
      <c r="H41" s="125"/>
      <c r="I41" s="125"/>
      <c r="J41" s="179"/>
    </row>
    <row r="42" spans="2:10" ht="20.399999999999999" customHeight="1" x14ac:dyDescent="0.3">
      <c r="B42" s="90">
        <v>12</v>
      </c>
      <c r="C42" s="91" t="s">
        <v>27</v>
      </c>
      <c r="D42" s="92">
        <v>25</v>
      </c>
      <c r="E42" s="92">
        <v>0</v>
      </c>
      <c r="F42" s="92">
        <f t="shared" si="0"/>
        <v>25</v>
      </c>
      <c r="G42" s="92">
        <v>2</v>
      </c>
      <c r="H42" s="125"/>
      <c r="I42" s="125"/>
      <c r="J42" s="179"/>
    </row>
    <row r="43" spans="2:10" ht="20.399999999999999" customHeight="1" x14ac:dyDescent="0.3">
      <c r="B43" s="90">
        <v>13</v>
      </c>
      <c r="C43" s="91" t="s">
        <v>28</v>
      </c>
      <c r="D43" s="92">
        <v>75</v>
      </c>
      <c r="E43" s="92">
        <v>0</v>
      </c>
      <c r="F43" s="92">
        <f t="shared" si="0"/>
        <v>75</v>
      </c>
      <c r="G43" s="92">
        <v>4</v>
      </c>
      <c r="H43" s="125"/>
      <c r="I43" s="125"/>
      <c r="J43" s="179"/>
    </row>
    <row r="44" spans="2:10" ht="20.399999999999999" customHeight="1" thickBot="1" x14ac:dyDescent="0.35">
      <c r="B44" s="90">
        <v>14</v>
      </c>
      <c r="C44" s="91" t="s">
        <v>29</v>
      </c>
      <c r="D44" s="92">
        <v>24</v>
      </c>
      <c r="E44" s="92">
        <v>2</v>
      </c>
      <c r="F44" s="92">
        <f t="shared" si="0"/>
        <v>26</v>
      </c>
      <c r="G44" s="92">
        <v>0</v>
      </c>
      <c r="H44" s="125"/>
      <c r="I44" s="125"/>
      <c r="J44" s="179"/>
    </row>
    <row r="45" spans="2:10" ht="20.399999999999999" customHeight="1" x14ac:dyDescent="0.3">
      <c r="B45" s="90">
        <v>15</v>
      </c>
      <c r="C45" s="91" t="s">
        <v>30</v>
      </c>
      <c r="D45" s="92">
        <v>27</v>
      </c>
      <c r="E45" s="92">
        <v>4</v>
      </c>
      <c r="F45" s="92">
        <f t="shared" si="0"/>
        <v>31</v>
      </c>
      <c r="G45" s="92">
        <v>2</v>
      </c>
      <c r="H45" s="125"/>
      <c r="I45" s="125"/>
      <c r="J45" s="179"/>
    </row>
    <row r="46" spans="2:10" ht="20.399999999999999" customHeight="1" x14ac:dyDescent="0.3">
      <c r="B46" s="90">
        <v>16</v>
      </c>
      <c r="C46" s="91" t="s">
        <v>31</v>
      </c>
      <c r="D46" s="92">
        <v>19</v>
      </c>
      <c r="E46" s="92">
        <v>4</v>
      </c>
      <c r="F46" s="92">
        <f t="shared" si="0"/>
        <v>23</v>
      </c>
      <c r="G46" s="92">
        <v>1</v>
      </c>
      <c r="H46" s="125"/>
      <c r="I46" s="125"/>
      <c r="J46" s="179"/>
    </row>
    <row r="47" spans="2:10" ht="20.399999999999999" customHeight="1" x14ac:dyDescent="0.3">
      <c r="B47" s="90">
        <v>17</v>
      </c>
      <c r="C47" s="91" t="s">
        <v>32</v>
      </c>
      <c r="D47" s="92">
        <v>9</v>
      </c>
      <c r="E47" s="92">
        <v>0</v>
      </c>
      <c r="F47" s="92">
        <f t="shared" si="0"/>
        <v>9</v>
      </c>
      <c r="G47" s="92">
        <v>1</v>
      </c>
      <c r="H47" s="125"/>
      <c r="I47" s="125"/>
      <c r="J47" s="179"/>
    </row>
    <row r="48" spans="2:10" ht="20.399999999999999" customHeight="1" x14ac:dyDescent="0.3">
      <c r="B48" s="90">
        <v>18</v>
      </c>
      <c r="C48" s="91" t="s">
        <v>33</v>
      </c>
      <c r="D48" s="92">
        <v>18</v>
      </c>
      <c r="E48" s="92">
        <v>4</v>
      </c>
      <c r="F48" s="92">
        <f t="shared" si="0"/>
        <v>22</v>
      </c>
      <c r="G48" s="92">
        <v>2</v>
      </c>
      <c r="H48" s="125"/>
      <c r="I48" s="125"/>
      <c r="J48" s="179"/>
    </row>
    <row r="49" spans="2:10" ht="20.399999999999999" customHeight="1" x14ac:dyDescent="0.3">
      <c r="B49" s="90">
        <v>19</v>
      </c>
      <c r="C49" s="91" t="s">
        <v>34</v>
      </c>
      <c r="D49" s="92">
        <v>23</v>
      </c>
      <c r="E49" s="92">
        <v>4</v>
      </c>
      <c r="F49" s="92">
        <f t="shared" si="0"/>
        <v>27</v>
      </c>
      <c r="G49" s="92">
        <v>0</v>
      </c>
      <c r="H49" s="125"/>
      <c r="I49" s="125"/>
      <c r="J49" s="179"/>
    </row>
    <row r="50" spans="2:10" ht="20.399999999999999" customHeight="1" x14ac:dyDescent="0.3">
      <c r="B50" s="90">
        <v>20</v>
      </c>
      <c r="C50" s="91" t="s">
        <v>36</v>
      </c>
      <c r="D50" s="92">
        <v>46</v>
      </c>
      <c r="E50" s="92">
        <v>0</v>
      </c>
      <c r="F50" s="92">
        <f t="shared" si="0"/>
        <v>46</v>
      </c>
      <c r="G50" s="92">
        <v>2</v>
      </c>
      <c r="H50" s="125"/>
      <c r="I50" s="125"/>
      <c r="J50" s="179"/>
    </row>
    <row r="51" spans="2:10" ht="20.399999999999999" customHeight="1" x14ac:dyDescent="0.3">
      <c r="B51" s="90">
        <v>21</v>
      </c>
      <c r="C51" s="91" t="s">
        <v>38</v>
      </c>
      <c r="D51" s="92">
        <v>18</v>
      </c>
      <c r="E51" s="92">
        <v>4</v>
      </c>
      <c r="F51" s="92">
        <f t="shared" si="0"/>
        <v>22</v>
      </c>
      <c r="G51" s="92">
        <v>0</v>
      </c>
      <c r="H51" s="125"/>
      <c r="I51" s="125"/>
      <c r="J51" s="179"/>
    </row>
    <row r="52" spans="2:10" ht="20.399999999999999" customHeight="1" x14ac:dyDescent="0.3">
      <c r="B52" s="90">
        <v>22</v>
      </c>
      <c r="C52" s="91" t="s">
        <v>39</v>
      </c>
      <c r="D52" s="92">
        <v>22</v>
      </c>
      <c r="E52" s="92">
        <v>0</v>
      </c>
      <c r="F52" s="92">
        <f t="shared" si="0"/>
        <v>22</v>
      </c>
      <c r="G52" s="92">
        <v>1</v>
      </c>
      <c r="H52" s="125"/>
      <c r="I52" s="125"/>
      <c r="J52" s="179"/>
    </row>
    <row r="53" spans="2:10" ht="20.399999999999999" customHeight="1" x14ac:dyDescent="0.3">
      <c r="B53" s="90">
        <v>23</v>
      </c>
      <c r="C53" s="91" t="s">
        <v>40</v>
      </c>
      <c r="D53" s="92">
        <v>24</v>
      </c>
      <c r="E53" s="92">
        <v>0</v>
      </c>
      <c r="F53" s="92">
        <f t="shared" si="0"/>
        <v>24</v>
      </c>
      <c r="G53" s="92">
        <v>1</v>
      </c>
      <c r="H53" s="125"/>
      <c r="I53" s="125"/>
      <c r="J53" s="179"/>
    </row>
    <row r="54" spans="2:10" ht="20.399999999999999" customHeight="1" x14ac:dyDescent="0.3">
      <c r="B54" s="90">
        <v>24</v>
      </c>
      <c r="C54" s="91" t="s">
        <v>41</v>
      </c>
      <c r="D54" s="92">
        <v>20</v>
      </c>
      <c r="E54" s="92">
        <v>0</v>
      </c>
      <c r="F54" s="92">
        <f t="shared" si="0"/>
        <v>20</v>
      </c>
      <c r="G54" s="92">
        <v>1</v>
      </c>
      <c r="H54" s="156"/>
      <c r="I54" s="156"/>
      <c r="J54" s="180"/>
    </row>
    <row r="55" spans="2:10" ht="20.399999999999999" customHeight="1" x14ac:dyDescent="0.3">
      <c r="B55" s="93">
        <v>1</v>
      </c>
      <c r="C55" s="94" t="s">
        <v>14</v>
      </c>
      <c r="D55" s="95">
        <v>30</v>
      </c>
      <c r="E55" s="95">
        <v>3</v>
      </c>
      <c r="F55" s="95">
        <f t="shared" si="0"/>
        <v>33</v>
      </c>
      <c r="G55" s="95">
        <v>2</v>
      </c>
      <c r="H55" s="162">
        <f>SUM(F55:F79)+SUM(G55:G79)</f>
        <v>809</v>
      </c>
      <c r="I55" s="146">
        <v>46361</v>
      </c>
      <c r="J55" s="163" t="s">
        <v>112</v>
      </c>
    </row>
    <row r="56" spans="2:10" ht="20.399999999999999" customHeight="1" x14ac:dyDescent="0.3">
      <c r="B56" s="93">
        <v>2</v>
      </c>
      <c r="C56" s="94" t="s">
        <v>16</v>
      </c>
      <c r="D56" s="95">
        <v>24</v>
      </c>
      <c r="E56" s="95">
        <v>2</v>
      </c>
      <c r="F56" s="95">
        <f t="shared" si="0"/>
        <v>26</v>
      </c>
      <c r="G56" s="95">
        <v>2</v>
      </c>
      <c r="H56" s="114"/>
      <c r="I56" s="114"/>
      <c r="J56" s="164"/>
    </row>
    <row r="57" spans="2:10" ht="20.399999999999999" customHeight="1" x14ac:dyDescent="0.3">
      <c r="B57" s="93">
        <v>3</v>
      </c>
      <c r="C57" s="94" t="s">
        <v>17</v>
      </c>
      <c r="D57" s="95">
        <v>20</v>
      </c>
      <c r="E57" s="95">
        <v>2</v>
      </c>
      <c r="F57" s="95">
        <f t="shared" si="0"/>
        <v>22</v>
      </c>
      <c r="G57" s="95">
        <v>1</v>
      </c>
      <c r="H57" s="114"/>
      <c r="I57" s="114"/>
      <c r="J57" s="164"/>
    </row>
    <row r="58" spans="2:10" ht="20.399999999999999" customHeight="1" x14ac:dyDescent="0.3">
      <c r="B58" s="93">
        <v>4</v>
      </c>
      <c r="C58" s="94" t="s">
        <v>18</v>
      </c>
      <c r="D58" s="95">
        <v>27</v>
      </c>
      <c r="E58" s="95">
        <v>0</v>
      </c>
      <c r="F58" s="95">
        <f t="shared" si="0"/>
        <v>27</v>
      </c>
      <c r="G58" s="95">
        <v>1</v>
      </c>
      <c r="H58" s="114"/>
      <c r="I58" s="114"/>
      <c r="J58" s="164"/>
    </row>
    <row r="59" spans="2:10" ht="20.399999999999999" customHeight="1" x14ac:dyDescent="0.3">
      <c r="B59" s="93">
        <v>5</v>
      </c>
      <c r="C59" s="94" t="s">
        <v>19</v>
      </c>
      <c r="D59" s="95">
        <v>79</v>
      </c>
      <c r="E59" s="95">
        <v>0</v>
      </c>
      <c r="F59" s="95">
        <f t="shared" si="0"/>
        <v>79</v>
      </c>
      <c r="G59" s="95">
        <v>4</v>
      </c>
      <c r="H59" s="114"/>
      <c r="I59" s="114"/>
      <c r="J59" s="164"/>
    </row>
    <row r="60" spans="2:10" ht="20.399999999999999" customHeight="1" x14ac:dyDescent="0.3">
      <c r="B60" s="93">
        <v>6</v>
      </c>
      <c r="C60" s="94" t="s">
        <v>20</v>
      </c>
      <c r="D60" s="95">
        <v>24</v>
      </c>
      <c r="E60" s="95">
        <v>4</v>
      </c>
      <c r="F60" s="95">
        <f t="shared" si="0"/>
        <v>28</v>
      </c>
      <c r="G60" s="95">
        <v>0</v>
      </c>
      <c r="H60" s="114"/>
      <c r="I60" s="114"/>
      <c r="J60" s="164"/>
    </row>
    <row r="61" spans="2:10" ht="20.399999999999999" customHeight="1" x14ac:dyDescent="0.3">
      <c r="B61" s="93">
        <v>7</v>
      </c>
      <c r="C61" s="94" t="s">
        <v>21</v>
      </c>
      <c r="D61" s="95">
        <v>35</v>
      </c>
      <c r="E61" s="95">
        <v>7</v>
      </c>
      <c r="F61" s="95">
        <f t="shared" si="0"/>
        <v>42</v>
      </c>
      <c r="G61" s="95">
        <v>3</v>
      </c>
      <c r="H61" s="114"/>
      <c r="I61" s="114"/>
      <c r="J61" s="164"/>
    </row>
    <row r="62" spans="2:10" ht="20.399999999999999" customHeight="1" x14ac:dyDescent="0.3">
      <c r="B62" s="93">
        <v>8</v>
      </c>
      <c r="C62" s="94" t="s">
        <v>22</v>
      </c>
      <c r="D62" s="95">
        <v>24</v>
      </c>
      <c r="E62" s="95">
        <v>2</v>
      </c>
      <c r="F62" s="95">
        <f t="shared" si="0"/>
        <v>26</v>
      </c>
      <c r="G62" s="95">
        <v>0</v>
      </c>
      <c r="H62" s="114"/>
      <c r="I62" s="114"/>
      <c r="J62" s="164"/>
    </row>
    <row r="63" spans="2:10" ht="20.399999999999999" customHeight="1" thickBot="1" x14ac:dyDescent="0.35">
      <c r="B63" s="93">
        <v>9</v>
      </c>
      <c r="C63" s="94" t="s">
        <v>24</v>
      </c>
      <c r="D63" s="95">
        <v>31</v>
      </c>
      <c r="E63" s="95">
        <v>7</v>
      </c>
      <c r="F63" s="95">
        <f t="shared" si="0"/>
        <v>38</v>
      </c>
      <c r="G63" s="95">
        <v>0</v>
      </c>
      <c r="H63" s="114"/>
      <c r="I63" s="114"/>
      <c r="J63" s="164"/>
    </row>
    <row r="64" spans="2:10" ht="20.399999999999999" customHeight="1" x14ac:dyDescent="0.3">
      <c r="B64" s="93">
        <v>10</v>
      </c>
      <c r="C64" s="94" t="s">
        <v>25</v>
      </c>
      <c r="D64" s="95">
        <v>29</v>
      </c>
      <c r="E64" s="95">
        <v>3</v>
      </c>
      <c r="F64" s="95">
        <f t="shared" si="0"/>
        <v>32</v>
      </c>
      <c r="G64" s="95">
        <v>1</v>
      </c>
      <c r="H64" s="114"/>
      <c r="I64" s="114"/>
      <c r="J64" s="164"/>
    </row>
    <row r="65" spans="2:10" ht="20.399999999999999" customHeight="1" x14ac:dyDescent="0.3">
      <c r="B65" s="93">
        <v>11</v>
      </c>
      <c r="C65" s="94" t="s">
        <v>26</v>
      </c>
      <c r="D65" s="95">
        <v>20</v>
      </c>
      <c r="E65" s="95">
        <v>0</v>
      </c>
      <c r="F65" s="95">
        <f t="shared" si="0"/>
        <v>20</v>
      </c>
      <c r="G65" s="95">
        <v>1</v>
      </c>
      <c r="H65" s="114"/>
      <c r="I65" s="114"/>
      <c r="J65" s="164"/>
    </row>
    <row r="66" spans="2:10" ht="20.399999999999999" customHeight="1" x14ac:dyDescent="0.3">
      <c r="B66" s="93">
        <v>12</v>
      </c>
      <c r="C66" s="94" t="s">
        <v>27</v>
      </c>
      <c r="D66" s="95">
        <v>25</v>
      </c>
      <c r="E66" s="95">
        <v>0</v>
      </c>
      <c r="F66" s="95">
        <f t="shared" si="0"/>
        <v>25</v>
      </c>
      <c r="G66" s="95">
        <v>2</v>
      </c>
      <c r="H66" s="114"/>
      <c r="I66" s="114"/>
      <c r="J66" s="164"/>
    </row>
    <row r="67" spans="2:10" ht="20.399999999999999" customHeight="1" x14ac:dyDescent="0.3">
      <c r="B67" s="93">
        <v>13</v>
      </c>
      <c r="C67" s="94" t="s">
        <v>28</v>
      </c>
      <c r="D67" s="95">
        <v>75</v>
      </c>
      <c r="E67" s="95">
        <v>0</v>
      </c>
      <c r="F67" s="95">
        <f t="shared" si="0"/>
        <v>75</v>
      </c>
      <c r="G67" s="95">
        <v>4</v>
      </c>
      <c r="H67" s="114"/>
      <c r="I67" s="114"/>
      <c r="J67" s="164"/>
    </row>
    <row r="68" spans="2:10" ht="20.399999999999999" customHeight="1" x14ac:dyDescent="0.3">
      <c r="B68" s="93">
        <v>14</v>
      </c>
      <c r="C68" s="94" t="s">
        <v>29</v>
      </c>
      <c r="D68" s="95">
        <v>24</v>
      </c>
      <c r="E68" s="95">
        <v>2</v>
      </c>
      <c r="F68" s="95">
        <f t="shared" ref="F68:F131" si="1">D68+E68</f>
        <v>26</v>
      </c>
      <c r="G68" s="95">
        <v>0</v>
      </c>
      <c r="H68" s="114"/>
      <c r="I68" s="114"/>
      <c r="J68" s="164"/>
    </row>
    <row r="69" spans="2:10" ht="20.399999999999999" customHeight="1" x14ac:dyDescent="0.3">
      <c r="B69" s="93">
        <v>15</v>
      </c>
      <c r="C69" s="94" t="s">
        <v>30</v>
      </c>
      <c r="D69" s="95">
        <v>27</v>
      </c>
      <c r="E69" s="95">
        <v>4</v>
      </c>
      <c r="F69" s="95">
        <f t="shared" si="1"/>
        <v>31</v>
      </c>
      <c r="G69" s="95">
        <v>2</v>
      </c>
      <c r="H69" s="114"/>
      <c r="I69" s="114"/>
      <c r="J69" s="164"/>
    </row>
    <row r="70" spans="2:10" ht="20.399999999999999" customHeight="1" x14ac:dyDescent="0.3">
      <c r="B70" s="93">
        <v>16</v>
      </c>
      <c r="C70" s="94" t="s">
        <v>31</v>
      </c>
      <c r="D70" s="95">
        <v>19</v>
      </c>
      <c r="E70" s="95">
        <v>4</v>
      </c>
      <c r="F70" s="95">
        <f t="shared" si="1"/>
        <v>23</v>
      </c>
      <c r="G70" s="95">
        <v>1</v>
      </c>
      <c r="H70" s="114"/>
      <c r="I70" s="114"/>
      <c r="J70" s="164"/>
    </row>
    <row r="71" spans="2:10" ht="20.399999999999999" customHeight="1" x14ac:dyDescent="0.3">
      <c r="B71" s="93">
        <v>17</v>
      </c>
      <c r="C71" s="94" t="s">
        <v>32</v>
      </c>
      <c r="D71" s="95">
        <v>9</v>
      </c>
      <c r="E71" s="95">
        <v>0</v>
      </c>
      <c r="F71" s="95">
        <f t="shared" si="1"/>
        <v>9</v>
      </c>
      <c r="G71" s="95">
        <v>1</v>
      </c>
      <c r="H71" s="114"/>
      <c r="I71" s="114"/>
      <c r="J71" s="164"/>
    </row>
    <row r="72" spans="2:10" ht="20.399999999999999" customHeight="1" x14ac:dyDescent="0.3">
      <c r="B72" s="93">
        <v>18</v>
      </c>
      <c r="C72" s="94" t="s">
        <v>33</v>
      </c>
      <c r="D72" s="95">
        <v>18</v>
      </c>
      <c r="E72" s="95">
        <v>4</v>
      </c>
      <c r="F72" s="95">
        <f t="shared" si="1"/>
        <v>22</v>
      </c>
      <c r="G72" s="95">
        <v>2</v>
      </c>
      <c r="H72" s="114"/>
      <c r="I72" s="114"/>
      <c r="J72" s="164"/>
    </row>
    <row r="73" spans="2:10" ht="20.399999999999999" customHeight="1" x14ac:dyDescent="0.3">
      <c r="B73" s="93">
        <v>19</v>
      </c>
      <c r="C73" s="94" t="s">
        <v>34</v>
      </c>
      <c r="D73" s="95">
        <v>23</v>
      </c>
      <c r="E73" s="95">
        <v>4</v>
      </c>
      <c r="F73" s="95">
        <f t="shared" si="1"/>
        <v>27</v>
      </c>
      <c r="G73" s="95">
        <v>0</v>
      </c>
      <c r="H73" s="114"/>
      <c r="I73" s="114"/>
      <c r="J73" s="164"/>
    </row>
    <row r="74" spans="2:10" ht="20.399999999999999" customHeight="1" x14ac:dyDescent="0.3">
      <c r="B74" s="93">
        <v>20</v>
      </c>
      <c r="C74" s="94" t="s">
        <v>36</v>
      </c>
      <c r="D74" s="95">
        <v>46</v>
      </c>
      <c r="E74" s="95">
        <v>0</v>
      </c>
      <c r="F74" s="95">
        <f t="shared" si="1"/>
        <v>46</v>
      </c>
      <c r="G74" s="95">
        <v>2</v>
      </c>
      <c r="H74" s="114"/>
      <c r="I74" s="114"/>
      <c r="J74" s="164"/>
    </row>
    <row r="75" spans="2:10" ht="20.399999999999999" customHeight="1" x14ac:dyDescent="0.3">
      <c r="B75" s="93">
        <v>21</v>
      </c>
      <c r="C75" s="94" t="s">
        <v>38</v>
      </c>
      <c r="D75" s="95">
        <v>18</v>
      </c>
      <c r="E75" s="95">
        <v>4</v>
      </c>
      <c r="F75" s="95">
        <f t="shared" si="1"/>
        <v>22</v>
      </c>
      <c r="G75" s="95">
        <v>0</v>
      </c>
      <c r="H75" s="114"/>
      <c r="I75" s="114"/>
      <c r="J75" s="164"/>
    </row>
    <row r="76" spans="2:10" ht="20.399999999999999" customHeight="1" x14ac:dyDescent="0.3">
      <c r="B76" s="93">
        <v>22</v>
      </c>
      <c r="C76" s="94" t="s">
        <v>39</v>
      </c>
      <c r="D76" s="95">
        <v>22</v>
      </c>
      <c r="E76" s="95">
        <v>0</v>
      </c>
      <c r="F76" s="95">
        <f t="shared" si="1"/>
        <v>22</v>
      </c>
      <c r="G76" s="95">
        <v>1</v>
      </c>
      <c r="H76" s="114"/>
      <c r="I76" s="114"/>
      <c r="J76" s="164"/>
    </row>
    <row r="77" spans="2:10" ht="20.399999999999999" customHeight="1" x14ac:dyDescent="0.3">
      <c r="B77" s="93">
        <v>23</v>
      </c>
      <c r="C77" s="94" t="s">
        <v>40</v>
      </c>
      <c r="D77" s="95">
        <v>24</v>
      </c>
      <c r="E77" s="95">
        <v>0</v>
      </c>
      <c r="F77" s="95">
        <f t="shared" si="1"/>
        <v>24</v>
      </c>
      <c r="G77" s="95">
        <v>1</v>
      </c>
      <c r="H77" s="114"/>
      <c r="I77" s="114"/>
      <c r="J77" s="164"/>
    </row>
    <row r="78" spans="2:10" ht="20.399999999999999" customHeight="1" x14ac:dyDescent="0.3">
      <c r="B78" s="93">
        <v>24</v>
      </c>
      <c r="C78" s="94" t="s">
        <v>41</v>
      </c>
      <c r="D78" s="95">
        <v>20</v>
      </c>
      <c r="E78" s="95">
        <v>0</v>
      </c>
      <c r="F78" s="95">
        <f t="shared" si="1"/>
        <v>20</v>
      </c>
      <c r="G78" s="95">
        <v>1</v>
      </c>
      <c r="H78" s="114"/>
      <c r="I78" s="114"/>
      <c r="J78" s="164"/>
    </row>
    <row r="79" spans="2:10" ht="20.399999999999999" customHeight="1" x14ac:dyDescent="0.3">
      <c r="B79" s="93">
        <v>25</v>
      </c>
      <c r="C79" s="94" t="s">
        <v>12</v>
      </c>
      <c r="D79" s="95">
        <v>25</v>
      </c>
      <c r="E79" s="95">
        <v>6</v>
      </c>
      <c r="F79" s="95">
        <f t="shared" si="1"/>
        <v>31</v>
      </c>
      <c r="G79" s="95">
        <v>1</v>
      </c>
      <c r="H79" s="147"/>
      <c r="I79" s="147"/>
      <c r="J79" s="165"/>
    </row>
    <row r="80" spans="2:10" ht="20.399999999999999" customHeight="1" x14ac:dyDescent="0.3">
      <c r="B80" s="69">
        <v>1</v>
      </c>
      <c r="C80" s="70" t="s">
        <v>14</v>
      </c>
      <c r="D80" s="71">
        <v>30</v>
      </c>
      <c r="E80" s="71">
        <v>3</v>
      </c>
      <c r="F80" s="71">
        <f t="shared" si="1"/>
        <v>33</v>
      </c>
      <c r="G80" s="71">
        <v>2</v>
      </c>
      <c r="H80" s="143">
        <f>SUM(F80:F104)+SUM(G80:G104)</f>
        <v>809</v>
      </c>
      <c r="I80" s="191">
        <v>46362</v>
      </c>
      <c r="J80" s="188" t="s">
        <v>116</v>
      </c>
    </row>
    <row r="81" spans="2:10" ht="20.399999999999999" customHeight="1" x14ac:dyDescent="0.3">
      <c r="B81" s="69">
        <v>2</v>
      </c>
      <c r="C81" s="70" t="s">
        <v>16</v>
      </c>
      <c r="D81" s="71">
        <v>24</v>
      </c>
      <c r="E81" s="71">
        <v>2</v>
      </c>
      <c r="F81" s="71">
        <f t="shared" si="1"/>
        <v>26</v>
      </c>
      <c r="G81" s="71">
        <v>2</v>
      </c>
      <c r="H81" s="144"/>
      <c r="I81" s="144"/>
      <c r="J81" s="189"/>
    </row>
    <row r="82" spans="2:10" ht="20.399999999999999" customHeight="1" thickBot="1" x14ac:dyDescent="0.35">
      <c r="B82" s="69">
        <v>3</v>
      </c>
      <c r="C82" s="70" t="s">
        <v>17</v>
      </c>
      <c r="D82" s="71">
        <v>20</v>
      </c>
      <c r="E82" s="71">
        <v>2</v>
      </c>
      <c r="F82" s="71">
        <f t="shared" si="1"/>
        <v>22</v>
      </c>
      <c r="G82" s="71">
        <v>1</v>
      </c>
      <c r="H82" s="144"/>
      <c r="I82" s="144"/>
      <c r="J82" s="189"/>
    </row>
    <row r="83" spans="2:10" ht="20.399999999999999" customHeight="1" x14ac:dyDescent="0.3">
      <c r="B83" s="69">
        <v>4</v>
      </c>
      <c r="C83" s="70" t="s">
        <v>18</v>
      </c>
      <c r="D83" s="71">
        <v>27</v>
      </c>
      <c r="E83" s="71">
        <v>0</v>
      </c>
      <c r="F83" s="71">
        <f t="shared" si="1"/>
        <v>27</v>
      </c>
      <c r="G83" s="71">
        <v>1</v>
      </c>
      <c r="H83" s="144"/>
      <c r="I83" s="144"/>
      <c r="J83" s="189"/>
    </row>
    <row r="84" spans="2:10" ht="20.399999999999999" customHeight="1" x14ac:dyDescent="0.3">
      <c r="B84" s="69">
        <v>5</v>
      </c>
      <c r="C84" s="70" t="s">
        <v>19</v>
      </c>
      <c r="D84" s="71">
        <v>79</v>
      </c>
      <c r="E84" s="71">
        <v>0</v>
      </c>
      <c r="F84" s="71">
        <f t="shared" si="1"/>
        <v>79</v>
      </c>
      <c r="G84" s="71">
        <v>4</v>
      </c>
      <c r="H84" s="144"/>
      <c r="I84" s="144"/>
      <c r="J84" s="189"/>
    </row>
    <row r="85" spans="2:10" ht="20.399999999999999" customHeight="1" x14ac:dyDescent="0.3">
      <c r="B85" s="69">
        <v>6</v>
      </c>
      <c r="C85" s="70" t="s">
        <v>20</v>
      </c>
      <c r="D85" s="71">
        <v>24</v>
      </c>
      <c r="E85" s="71">
        <v>4</v>
      </c>
      <c r="F85" s="71">
        <f t="shared" si="1"/>
        <v>28</v>
      </c>
      <c r="G85" s="71">
        <v>0</v>
      </c>
      <c r="H85" s="144"/>
      <c r="I85" s="144"/>
      <c r="J85" s="189"/>
    </row>
    <row r="86" spans="2:10" ht="20.399999999999999" customHeight="1" x14ac:dyDescent="0.3">
      <c r="B86" s="69">
        <v>7</v>
      </c>
      <c r="C86" s="70" t="s">
        <v>21</v>
      </c>
      <c r="D86" s="71">
        <v>35</v>
      </c>
      <c r="E86" s="71">
        <v>7</v>
      </c>
      <c r="F86" s="71">
        <f t="shared" si="1"/>
        <v>42</v>
      </c>
      <c r="G86" s="71">
        <v>3</v>
      </c>
      <c r="H86" s="144"/>
      <c r="I86" s="144"/>
      <c r="J86" s="189"/>
    </row>
    <row r="87" spans="2:10" ht="20.399999999999999" customHeight="1" x14ac:dyDescent="0.3">
      <c r="B87" s="69">
        <v>8</v>
      </c>
      <c r="C87" s="70" t="s">
        <v>22</v>
      </c>
      <c r="D87" s="71">
        <v>24</v>
      </c>
      <c r="E87" s="71">
        <v>2</v>
      </c>
      <c r="F87" s="71">
        <f t="shared" si="1"/>
        <v>26</v>
      </c>
      <c r="G87" s="71">
        <v>0</v>
      </c>
      <c r="H87" s="144"/>
      <c r="I87" s="144"/>
      <c r="J87" s="189"/>
    </row>
    <row r="88" spans="2:10" ht="20.399999999999999" customHeight="1" x14ac:dyDescent="0.3">
      <c r="B88" s="69">
        <v>9</v>
      </c>
      <c r="C88" s="70" t="s">
        <v>24</v>
      </c>
      <c r="D88" s="71">
        <v>31</v>
      </c>
      <c r="E88" s="71">
        <v>7</v>
      </c>
      <c r="F88" s="71">
        <f t="shared" si="1"/>
        <v>38</v>
      </c>
      <c r="G88" s="71">
        <v>0</v>
      </c>
      <c r="H88" s="144"/>
      <c r="I88" s="144"/>
      <c r="J88" s="189"/>
    </row>
    <row r="89" spans="2:10" ht="20.399999999999999" customHeight="1" x14ac:dyDescent="0.3">
      <c r="B89" s="69">
        <v>10</v>
      </c>
      <c r="C89" s="70" t="s">
        <v>25</v>
      </c>
      <c r="D89" s="71">
        <v>29</v>
      </c>
      <c r="E89" s="71">
        <v>3</v>
      </c>
      <c r="F89" s="71">
        <f t="shared" si="1"/>
        <v>32</v>
      </c>
      <c r="G89" s="71">
        <v>1</v>
      </c>
      <c r="H89" s="144"/>
      <c r="I89" s="144"/>
      <c r="J89" s="189"/>
    </row>
    <row r="90" spans="2:10" ht="20.399999999999999" customHeight="1" x14ac:dyDescent="0.3">
      <c r="B90" s="69">
        <v>11</v>
      </c>
      <c r="C90" s="70" t="s">
        <v>26</v>
      </c>
      <c r="D90" s="71">
        <v>20</v>
      </c>
      <c r="E90" s="71">
        <v>0</v>
      </c>
      <c r="F90" s="71">
        <f t="shared" si="1"/>
        <v>20</v>
      </c>
      <c r="G90" s="71">
        <v>1</v>
      </c>
      <c r="H90" s="144"/>
      <c r="I90" s="144"/>
      <c r="J90" s="189"/>
    </row>
    <row r="91" spans="2:10" ht="20.399999999999999" customHeight="1" x14ac:dyDescent="0.3">
      <c r="B91" s="69">
        <v>12</v>
      </c>
      <c r="C91" s="70" t="s">
        <v>27</v>
      </c>
      <c r="D91" s="71">
        <v>25</v>
      </c>
      <c r="E91" s="71">
        <v>0</v>
      </c>
      <c r="F91" s="71">
        <f t="shared" si="1"/>
        <v>25</v>
      </c>
      <c r="G91" s="71">
        <v>2</v>
      </c>
      <c r="H91" s="144"/>
      <c r="I91" s="144"/>
      <c r="J91" s="189"/>
    </row>
    <row r="92" spans="2:10" ht="20.399999999999999" customHeight="1" x14ac:dyDescent="0.3">
      <c r="B92" s="69">
        <v>13</v>
      </c>
      <c r="C92" s="70" t="s">
        <v>28</v>
      </c>
      <c r="D92" s="71">
        <v>75</v>
      </c>
      <c r="E92" s="71">
        <v>0</v>
      </c>
      <c r="F92" s="71">
        <f t="shared" si="1"/>
        <v>75</v>
      </c>
      <c r="G92" s="71">
        <v>4</v>
      </c>
      <c r="H92" s="144"/>
      <c r="I92" s="144"/>
      <c r="J92" s="189"/>
    </row>
    <row r="93" spans="2:10" ht="20.399999999999999" customHeight="1" x14ac:dyDescent="0.3">
      <c r="B93" s="69">
        <v>14</v>
      </c>
      <c r="C93" s="70" t="s">
        <v>29</v>
      </c>
      <c r="D93" s="71">
        <v>24</v>
      </c>
      <c r="E93" s="71">
        <v>2</v>
      </c>
      <c r="F93" s="71">
        <f t="shared" si="1"/>
        <v>26</v>
      </c>
      <c r="G93" s="71">
        <v>0</v>
      </c>
      <c r="H93" s="144"/>
      <c r="I93" s="144"/>
      <c r="J93" s="189"/>
    </row>
    <row r="94" spans="2:10" ht="20.399999999999999" customHeight="1" x14ac:dyDescent="0.3">
      <c r="B94" s="69">
        <v>15</v>
      </c>
      <c r="C94" s="70" t="s">
        <v>30</v>
      </c>
      <c r="D94" s="71">
        <v>27</v>
      </c>
      <c r="E94" s="71">
        <v>4</v>
      </c>
      <c r="F94" s="71">
        <f t="shared" si="1"/>
        <v>31</v>
      </c>
      <c r="G94" s="71">
        <v>2</v>
      </c>
      <c r="H94" s="144"/>
      <c r="I94" s="144"/>
      <c r="J94" s="189"/>
    </row>
    <row r="95" spans="2:10" ht="20.399999999999999" customHeight="1" x14ac:dyDescent="0.3">
      <c r="B95" s="69">
        <v>16</v>
      </c>
      <c r="C95" s="70" t="s">
        <v>31</v>
      </c>
      <c r="D95" s="71">
        <v>19</v>
      </c>
      <c r="E95" s="71">
        <v>4</v>
      </c>
      <c r="F95" s="71">
        <f t="shared" si="1"/>
        <v>23</v>
      </c>
      <c r="G95" s="71">
        <v>1</v>
      </c>
      <c r="H95" s="144"/>
      <c r="I95" s="144"/>
      <c r="J95" s="189"/>
    </row>
    <row r="96" spans="2:10" ht="20.399999999999999" customHeight="1" x14ac:dyDescent="0.3">
      <c r="B96" s="69">
        <v>17</v>
      </c>
      <c r="C96" s="70" t="s">
        <v>32</v>
      </c>
      <c r="D96" s="71">
        <v>9</v>
      </c>
      <c r="E96" s="71">
        <v>0</v>
      </c>
      <c r="F96" s="71">
        <f t="shared" si="1"/>
        <v>9</v>
      </c>
      <c r="G96" s="71">
        <v>1</v>
      </c>
      <c r="H96" s="144"/>
      <c r="I96" s="144"/>
      <c r="J96" s="189"/>
    </row>
    <row r="97" spans="2:10" ht="20.399999999999999" customHeight="1" x14ac:dyDescent="0.3">
      <c r="B97" s="69">
        <v>18</v>
      </c>
      <c r="C97" s="70" t="s">
        <v>33</v>
      </c>
      <c r="D97" s="71">
        <v>18</v>
      </c>
      <c r="E97" s="71">
        <v>4</v>
      </c>
      <c r="F97" s="71">
        <f t="shared" si="1"/>
        <v>22</v>
      </c>
      <c r="G97" s="71">
        <v>2</v>
      </c>
      <c r="H97" s="144"/>
      <c r="I97" s="144"/>
      <c r="J97" s="189"/>
    </row>
    <row r="98" spans="2:10" ht="20.399999999999999" customHeight="1" x14ac:dyDescent="0.3">
      <c r="B98" s="69">
        <v>19</v>
      </c>
      <c r="C98" s="70" t="s">
        <v>34</v>
      </c>
      <c r="D98" s="71">
        <v>23</v>
      </c>
      <c r="E98" s="71">
        <v>4</v>
      </c>
      <c r="F98" s="71">
        <f t="shared" si="1"/>
        <v>27</v>
      </c>
      <c r="G98" s="71">
        <v>0</v>
      </c>
      <c r="H98" s="144"/>
      <c r="I98" s="144"/>
      <c r="J98" s="189"/>
    </row>
    <row r="99" spans="2:10" ht="20.399999999999999" customHeight="1" x14ac:dyDescent="0.3">
      <c r="B99" s="69">
        <v>20</v>
      </c>
      <c r="C99" s="70" t="s">
        <v>36</v>
      </c>
      <c r="D99" s="71">
        <v>46</v>
      </c>
      <c r="E99" s="71">
        <v>0</v>
      </c>
      <c r="F99" s="71">
        <f t="shared" si="1"/>
        <v>46</v>
      </c>
      <c r="G99" s="71">
        <v>2</v>
      </c>
      <c r="H99" s="144"/>
      <c r="I99" s="144"/>
      <c r="J99" s="189"/>
    </row>
    <row r="100" spans="2:10" ht="20.399999999999999" customHeight="1" x14ac:dyDescent="0.3">
      <c r="B100" s="69">
        <v>21</v>
      </c>
      <c r="C100" s="70" t="s">
        <v>38</v>
      </c>
      <c r="D100" s="71">
        <v>18</v>
      </c>
      <c r="E100" s="71">
        <v>4</v>
      </c>
      <c r="F100" s="71">
        <f t="shared" si="1"/>
        <v>22</v>
      </c>
      <c r="G100" s="71">
        <v>0</v>
      </c>
      <c r="H100" s="144"/>
      <c r="I100" s="144"/>
      <c r="J100" s="189"/>
    </row>
    <row r="101" spans="2:10" ht="20.399999999999999" customHeight="1" x14ac:dyDescent="0.3">
      <c r="B101" s="69">
        <v>22</v>
      </c>
      <c r="C101" s="70" t="s">
        <v>39</v>
      </c>
      <c r="D101" s="71">
        <v>22</v>
      </c>
      <c r="E101" s="71">
        <v>0</v>
      </c>
      <c r="F101" s="71">
        <f t="shared" si="1"/>
        <v>22</v>
      </c>
      <c r="G101" s="71">
        <v>1</v>
      </c>
      <c r="H101" s="144"/>
      <c r="I101" s="144"/>
      <c r="J101" s="189"/>
    </row>
    <row r="102" spans="2:10" ht="20.399999999999999" customHeight="1" x14ac:dyDescent="0.3">
      <c r="B102" s="69">
        <v>23</v>
      </c>
      <c r="C102" s="70" t="s">
        <v>40</v>
      </c>
      <c r="D102" s="71">
        <v>24</v>
      </c>
      <c r="E102" s="71">
        <v>0</v>
      </c>
      <c r="F102" s="71">
        <f t="shared" si="1"/>
        <v>24</v>
      </c>
      <c r="G102" s="71">
        <v>1</v>
      </c>
      <c r="H102" s="144"/>
      <c r="I102" s="144"/>
      <c r="J102" s="189"/>
    </row>
    <row r="103" spans="2:10" ht="20.399999999999999" customHeight="1" x14ac:dyDescent="0.3">
      <c r="B103" s="69">
        <v>24</v>
      </c>
      <c r="C103" s="70" t="s">
        <v>41</v>
      </c>
      <c r="D103" s="71">
        <v>20</v>
      </c>
      <c r="E103" s="71">
        <v>0</v>
      </c>
      <c r="F103" s="71">
        <f t="shared" si="1"/>
        <v>20</v>
      </c>
      <c r="G103" s="71">
        <v>1</v>
      </c>
      <c r="H103" s="144"/>
      <c r="I103" s="144"/>
      <c r="J103" s="189"/>
    </row>
    <row r="104" spans="2:10" ht="20.399999999999999" customHeight="1" x14ac:dyDescent="0.3">
      <c r="B104" s="69">
        <v>25</v>
      </c>
      <c r="C104" s="70" t="s">
        <v>12</v>
      </c>
      <c r="D104" s="71">
        <v>25</v>
      </c>
      <c r="E104" s="71">
        <v>6</v>
      </c>
      <c r="F104" s="71">
        <f t="shared" si="1"/>
        <v>31</v>
      </c>
      <c r="G104" s="71">
        <v>1</v>
      </c>
      <c r="H104" s="145"/>
      <c r="I104" s="145"/>
      <c r="J104" s="190"/>
    </row>
    <row r="105" spans="2:10" ht="20.399999999999999" customHeight="1" x14ac:dyDescent="0.3">
      <c r="B105" s="75">
        <v>1</v>
      </c>
      <c r="C105" s="76" t="s">
        <v>44</v>
      </c>
      <c r="D105" s="77">
        <v>26</v>
      </c>
      <c r="E105" s="77">
        <v>2</v>
      </c>
      <c r="F105" s="77">
        <f t="shared" si="1"/>
        <v>28</v>
      </c>
      <c r="G105" s="77">
        <v>0</v>
      </c>
      <c r="H105" s="166">
        <f>SUM(F105:F139)+SUM(G105:G139)</f>
        <v>1087</v>
      </c>
      <c r="I105" s="173">
        <v>46365</v>
      </c>
      <c r="J105" s="140" t="s">
        <v>114</v>
      </c>
    </row>
    <row r="106" spans="2:10" ht="20.399999999999999" customHeight="1" x14ac:dyDescent="0.3">
      <c r="B106" s="75">
        <v>2</v>
      </c>
      <c r="C106" s="76" t="s">
        <v>46</v>
      </c>
      <c r="D106" s="77">
        <v>35</v>
      </c>
      <c r="E106" s="77">
        <v>0</v>
      </c>
      <c r="F106" s="77">
        <f t="shared" si="1"/>
        <v>35</v>
      </c>
      <c r="G106" s="77">
        <v>2</v>
      </c>
      <c r="H106" s="167"/>
      <c r="I106" s="167"/>
      <c r="J106" s="141"/>
    </row>
    <row r="107" spans="2:10" ht="20.399999999999999" customHeight="1" x14ac:dyDescent="0.3">
      <c r="B107" s="75">
        <v>3</v>
      </c>
      <c r="C107" s="76" t="s">
        <v>47</v>
      </c>
      <c r="D107" s="77">
        <v>28</v>
      </c>
      <c r="E107" s="77">
        <v>2</v>
      </c>
      <c r="F107" s="77">
        <f t="shared" si="1"/>
        <v>30</v>
      </c>
      <c r="G107" s="77">
        <v>2</v>
      </c>
      <c r="H107" s="167"/>
      <c r="I107" s="167"/>
      <c r="J107" s="141"/>
    </row>
    <row r="108" spans="2:10" ht="20.399999999999999" customHeight="1" thickBot="1" x14ac:dyDescent="0.35">
      <c r="B108" s="75">
        <v>4</v>
      </c>
      <c r="C108" s="76" t="s">
        <v>48</v>
      </c>
      <c r="D108" s="77">
        <v>39</v>
      </c>
      <c r="E108" s="77">
        <v>4</v>
      </c>
      <c r="F108" s="77">
        <f t="shared" si="1"/>
        <v>43</v>
      </c>
      <c r="G108" s="77">
        <v>3</v>
      </c>
      <c r="H108" s="167"/>
      <c r="I108" s="167"/>
      <c r="J108" s="141"/>
    </row>
    <row r="109" spans="2:10" ht="23.4" customHeight="1" x14ac:dyDescent="0.3">
      <c r="B109" s="75">
        <v>5</v>
      </c>
      <c r="C109" s="76" t="s">
        <v>49</v>
      </c>
      <c r="D109" s="77">
        <v>25</v>
      </c>
      <c r="E109" s="77">
        <v>5</v>
      </c>
      <c r="F109" s="77">
        <f t="shared" si="1"/>
        <v>30</v>
      </c>
      <c r="G109" s="77">
        <v>0</v>
      </c>
      <c r="H109" s="167"/>
      <c r="I109" s="167"/>
      <c r="J109" s="141"/>
    </row>
    <row r="110" spans="2:10" ht="25.2" customHeight="1" x14ac:dyDescent="0.3">
      <c r="B110" s="75">
        <v>6</v>
      </c>
      <c r="C110" s="76" t="s">
        <v>42</v>
      </c>
      <c r="D110" s="77">
        <v>34</v>
      </c>
      <c r="E110" s="77">
        <v>3</v>
      </c>
      <c r="F110" s="77">
        <f t="shared" si="1"/>
        <v>37</v>
      </c>
      <c r="G110" s="77">
        <v>1</v>
      </c>
      <c r="H110" s="167"/>
      <c r="I110" s="167"/>
      <c r="J110" s="141"/>
    </row>
    <row r="111" spans="2:10" ht="19.5" customHeight="1" x14ac:dyDescent="0.3">
      <c r="B111" s="75">
        <v>7</v>
      </c>
      <c r="C111" s="76" t="s">
        <v>50</v>
      </c>
      <c r="D111" s="77">
        <v>30</v>
      </c>
      <c r="E111" s="77">
        <v>5</v>
      </c>
      <c r="F111" s="77">
        <f t="shared" si="1"/>
        <v>35</v>
      </c>
      <c r="G111" s="77">
        <v>0</v>
      </c>
      <c r="H111" s="167"/>
      <c r="I111" s="167"/>
      <c r="J111" s="141"/>
    </row>
    <row r="112" spans="2:10" ht="20.399999999999999" customHeight="1" x14ac:dyDescent="0.3">
      <c r="B112" s="75">
        <v>8</v>
      </c>
      <c r="C112" s="76" t="s">
        <v>43</v>
      </c>
      <c r="D112" s="77">
        <v>29</v>
      </c>
      <c r="E112" s="77">
        <v>3</v>
      </c>
      <c r="F112" s="77">
        <f t="shared" si="1"/>
        <v>32</v>
      </c>
      <c r="G112" s="77">
        <v>1</v>
      </c>
      <c r="H112" s="167"/>
      <c r="I112" s="167"/>
      <c r="J112" s="141"/>
    </row>
    <row r="113" spans="2:10" ht="20.399999999999999" customHeight="1" x14ac:dyDescent="0.3">
      <c r="B113" s="75">
        <v>9</v>
      </c>
      <c r="C113" s="76" t="s">
        <v>51</v>
      </c>
      <c r="D113" s="77">
        <v>27</v>
      </c>
      <c r="E113" s="77">
        <v>2</v>
      </c>
      <c r="F113" s="77">
        <f t="shared" si="1"/>
        <v>29</v>
      </c>
      <c r="G113" s="77">
        <v>1</v>
      </c>
      <c r="H113" s="167"/>
      <c r="I113" s="167"/>
      <c r="J113" s="141"/>
    </row>
    <row r="114" spans="2:10" ht="20.399999999999999" customHeight="1" x14ac:dyDescent="0.3">
      <c r="B114" s="75">
        <v>10</v>
      </c>
      <c r="C114" s="76" t="s">
        <v>52</v>
      </c>
      <c r="D114" s="77">
        <v>25</v>
      </c>
      <c r="E114" s="77">
        <v>4</v>
      </c>
      <c r="F114" s="77">
        <f t="shared" si="1"/>
        <v>29</v>
      </c>
      <c r="G114" s="77">
        <v>0</v>
      </c>
      <c r="H114" s="167"/>
      <c r="I114" s="167"/>
      <c r="J114" s="141"/>
    </row>
    <row r="115" spans="2:10" ht="20.399999999999999" customHeight="1" x14ac:dyDescent="0.3">
      <c r="B115" s="75">
        <v>11</v>
      </c>
      <c r="C115" s="76" t="s">
        <v>53</v>
      </c>
      <c r="D115" s="77">
        <v>26</v>
      </c>
      <c r="E115" s="77">
        <v>0</v>
      </c>
      <c r="F115" s="77">
        <f t="shared" si="1"/>
        <v>26</v>
      </c>
      <c r="G115" s="77">
        <v>2</v>
      </c>
      <c r="H115" s="167"/>
      <c r="I115" s="167"/>
      <c r="J115" s="141"/>
    </row>
    <row r="116" spans="2:10" ht="20.399999999999999" customHeight="1" x14ac:dyDescent="0.3">
      <c r="B116" s="75">
        <v>12</v>
      </c>
      <c r="C116" s="76" t="s">
        <v>54</v>
      </c>
      <c r="D116" s="77">
        <v>23</v>
      </c>
      <c r="E116" s="77">
        <v>8</v>
      </c>
      <c r="F116" s="77">
        <f t="shared" si="1"/>
        <v>31</v>
      </c>
      <c r="G116" s="77">
        <v>2</v>
      </c>
      <c r="H116" s="167"/>
      <c r="I116" s="167"/>
      <c r="J116" s="141"/>
    </row>
    <row r="117" spans="2:10" ht="20.399999999999999" customHeight="1" x14ac:dyDescent="0.3">
      <c r="B117" s="75">
        <v>13</v>
      </c>
      <c r="C117" s="76" t="s">
        <v>55</v>
      </c>
      <c r="D117" s="77">
        <v>25</v>
      </c>
      <c r="E117" s="77">
        <v>3</v>
      </c>
      <c r="F117" s="77">
        <f t="shared" si="1"/>
        <v>28</v>
      </c>
      <c r="G117" s="77">
        <v>0</v>
      </c>
      <c r="H117" s="167"/>
      <c r="I117" s="167"/>
      <c r="J117" s="141"/>
    </row>
    <row r="118" spans="2:10" ht="20.399999999999999" customHeight="1" x14ac:dyDescent="0.3">
      <c r="B118" s="75">
        <v>14</v>
      </c>
      <c r="C118" s="76" t="s">
        <v>56</v>
      </c>
      <c r="D118" s="77">
        <v>35</v>
      </c>
      <c r="E118" s="77">
        <v>3</v>
      </c>
      <c r="F118" s="77">
        <f t="shared" si="1"/>
        <v>38</v>
      </c>
      <c r="G118" s="77">
        <v>2</v>
      </c>
      <c r="H118" s="167"/>
      <c r="I118" s="167"/>
      <c r="J118" s="141"/>
    </row>
    <row r="119" spans="2:10" ht="20.399999999999999" customHeight="1" thickBot="1" x14ac:dyDescent="0.35">
      <c r="B119" s="75">
        <v>15</v>
      </c>
      <c r="C119" s="76" t="s">
        <v>57</v>
      </c>
      <c r="D119" s="77">
        <v>15</v>
      </c>
      <c r="E119" s="77">
        <v>3</v>
      </c>
      <c r="F119" s="77">
        <f t="shared" si="1"/>
        <v>18</v>
      </c>
      <c r="G119" s="77">
        <v>1</v>
      </c>
      <c r="H119" s="167"/>
      <c r="I119" s="167"/>
      <c r="J119" s="141"/>
    </row>
    <row r="120" spans="2:10" ht="20.399999999999999" customHeight="1" x14ac:dyDescent="0.3">
      <c r="B120" s="75">
        <v>16</v>
      </c>
      <c r="C120" s="76" t="s">
        <v>58</v>
      </c>
      <c r="D120" s="77">
        <v>39</v>
      </c>
      <c r="E120" s="77">
        <v>4</v>
      </c>
      <c r="F120" s="77">
        <f t="shared" si="1"/>
        <v>43</v>
      </c>
      <c r="G120" s="77">
        <v>0</v>
      </c>
      <c r="H120" s="167"/>
      <c r="I120" s="167"/>
      <c r="J120" s="141"/>
    </row>
    <row r="121" spans="2:10" ht="20.399999999999999" customHeight="1" x14ac:dyDescent="0.3">
      <c r="B121" s="75">
        <v>17</v>
      </c>
      <c r="C121" s="76" t="s">
        <v>59</v>
      </c>
      <c r="D121" s="77">
        <v>23</v>
      </c>
      <c r="E121" s="77">
        <v>1</v>
      </c>
      <c r="F121" s="77">
        <f t="shared" si="1"/>
        <v>24</v>
      </c>
      <c r="G121" s="77">
        <v>1</v>
      </c>
      <c r="H121" s="167"/>
      <c r="I121" s="167"/>
      <c r="J121" s="141"/>
    </row>
    <row r="122" spans="2:10" ht="20.399999999999999" customHeight="1" x14ac:dyDescent="0.3">
      <c r="B122" s="75">
        <v>18</v>
      </c>
      <c r="C122" s="76" t="s">
        <v>60</v>
      </c>
      <c r="D122" s="77">
        <v>23</v>
      </c>
      <c r="E122" s="77">
        <v>3</v>
      </c>
      <c r="F122" s="77">
        <f t="shared" si="1"/>
        <v>26</v>
      </c>
      <c r="G122" s="77">
        <v>1</v>
      </c>
      <c r="H122" s="167"/>
      <c r="I122" s="167"/>
      <c r="J122" s="141"/>
    </row>
    <row r="123" spans="2:10" ht="20.399999999999999" customHeight="1" x14ac:dyDescent="0.3">
      <c r="B123" s="75">
        <v>19</v>
      </c>
      <c r="C123" s="76" t="s">
        <v>61</v>
      </c>
      <c r="D123" s="77">
        <v>28</v>
      </c>
      <c r="E123" s="77">
        <v>2</v>
      </c>
      <c r="F123" s="77">
        <f t="shared" si="1"/>
        <v>30</v>
      </c>
      <c r="G123" s="77">
        <v>2</v>
      </c>
      <c r="H123" s="167"/>
      <c r="I123" s="167"/>
      <c r="J123" s="141"/>
    </row>
    <row r="124" spans="2:10" ht="20.399999999999999" customHeight="1" x14ac:dyDescent="0.3">
      <c r="B124" s="75">
        <v>20</v>
      </c>
      <c r="C124" s="76" t="s">
        <v>62</v>
      </c>
      <c r="D124" s="77">
        <v>10</v>
      </c>
      <c r="E124" s="77">
        <v>1</v>
      </c>
      <c r="F124" s="77">
        <f t="shared" si="1"/>
        <v>11</v>
      </c>
      <c r="G124" s="77">
        <v>1</v>
      </c>
      <c r="H124" s="167"/>
      <c r="I124" s="167"/>
      <c r="J124" s="141"/>
    </row>
    <row r="125" spans="2:10" ht="20.399999999999999" customHeight="1" x14ac:dyDescent="0.3">
      <c r="B125" s="75">
        <v>21</v>
      </c>
      <c r="C125" s="76" t="s">
        <v>63</v>
      </c>
      <c r="D125" s="77">
        <v>21</v>
      </c>
      <c r="E125" s="77">
        <v>0</v>
      </c>
      <c r="F125" s="77">
        <f t="shared" si="1"/>
        <v>21</v>
      </c>
      <c r="G125" s="77">
        <v>1</v>
      </c>
      <c r="H125" s="167"/>
      <c r="I125" s="167"/>
      <c r="J125" s="141"/>
    </row>
    <row r="126" spans="2:10" ht="20.399999999999999" customHeight="1" x14ac:dyDescent="0.3">
      <c r="B126" s="75">
        <v>22</v>
      </c>
      <c r="C126" s="76" t="s">
        <v>64</v>
      </c>
      <c r="D126" s="77">
        <v>27</v>
      </c>
      <c r="E126" s="77">
        <v>3</v>
      </c>
      <c r="F126" s="77">
        <f t="shared" si="1"/>
        <v>30</v>
      </c>
      <c r="G126" s="77">
        <v>2</v>
      </c>
      <c r="H126" s="167"/>
      <c r="I126" s="167"/>
      <c r="J126" s="141"/>
    </row>
    <row r="127" spans="2:10" ht="20.399999999999999" customHeight="1" x14ac:dyDescent="0.3">
      <c r="B127" s="75">
        <v>23</v>
      </c>
      <c r="C127" s="76" t="s">
        <v>65</v>
      </c>
      <c r="D127" s="77">
        <v>35</v>
      </c>
      <c r="E127" s="77">
        <v>4</v>
      </c>
      <c r="F127" s="77">
        <f t="shared" si="1"/>
        <v>39</v>
      </c>
      <c r="G127" s="77">
        <v>2</v>
      </c>
      <c r="H127" s="167"/>
      <c r="I127" s="167"/>
      <c r="J127" s="141"/>
    </row>
    <row r="128" spans="2:10" ht="20.399999999999999" customHeight="1" x14ac:dyDescent="0.3">
      <c r="B128" s="75">
        <v>24</v>
      </c>
      <c r="C128" s="76" t="s">
        <v>66</v>
      </c>
      <c r="D128" s="77">
        <v>35</v>
      </c>
      <c r="E128" s="77">
        <v>2</v>
      </c>
      <c r="F128" s="77">
        <f t="shared" si="1"/>
        <v>37</v>
      </c>
      <c r="G128" s="77">
        <v>0</v>
      </c>
      <c r="H128" s="167"/>
      <c r="I128" s="167"/>
      <c r="J128" s="141"/>
    </row>
    <row r="129" spans="2:10" ht="20.399999999999999" customHeight="1" x14ac:dyDescent="0.3">
      <c r="B129" s="75">
        <v>25</v>
      </c>
      <c r="C129" s="76" t="s">
        <v>67</v>
      </c>
      <c r="D129" s="77">
        <v>30</v>
      </c>
      <c r="E129" s="77">
        <v>4</v>
      </c>
      <c r="F129" s="77">
        <f t="shared" si="1"/>
        <v>34</v>
      </c>
      <c r="G129" s="77">
        <v>2</v>
      </c>
      <c r="H129" s="167"/>
      <c r="I129" s="167"/>
      <c r="J129" s="141"/>
    </row>
    <row r="130" spans="2:10" ht="20.399999999999999" customHeight="1" x14ac:dyDescent="0.3">
      <c r="B130" s="75">
        <v>26</v>
      </c>
      <c r="C130" s="76" t="s">
        <v>68</v>
      </c>
      <c r="D130" s="77">
        <v>26</v>
      </c>
      <c r="E130" s="77">
        <v>4</v>
      </c>
      <c r="F130" s="77">
        <f t="shared" si="1"/>
        <v>30</v>
      </c>
      <c r="G130" s="77">
        <v>1</v>
      </c>
      <c r="H130" s="167"/>
      <c r="I130" s="167"/>
      <c r="J130" s="141"/>
    </row>
    <row r="131" spans="2:10" ht="20.399999999999999" customHeight="1" x14ac:dyDescent="0.3">
      <c r="B131" s="75">
        <v>27</v>
      </c>
      <c r="C131" s="76" t="s">
        <v>69</v>
      </c>
      <c r="D131" s="77">
        <v>28</v>
      </c>
      <c r="E131" s="77">
        <v>0</v>
      </c>
      <c r="F131" s="77">
        <f t="shared" si="1"/>
        <v>28</v>
      </c>
      <c r="G131" s="77">
        <v>2</v>
      </c>
      <c r="H131" s="167"/>
      <c r="I131" s="167"/>
      <c r="J131" s="141"/>
    </row>
    <row r="132" spans="2:10" ht="20.399999999999999" customHeight="1" x14ac:dyDescent="0.3">
      <c r="B132" s="75">
        <v>28</v>
      </c>
      <c r="C132" s="76" t="s">
        <v>70</v>
      </c>
      <c r="D132" s="77">
        <v>26</v>
      </c>
      <c r="E132" s="77">
        <v>3</v>
      </c>
      <c r="F132" s="77">
        <f t="shared" ref="F132:F195" si="2">D132+E132</f>
        <v>29</v>
      </c>
      <c r="G132" s="77">
        <v>2</v>
      </c>
      <c r="H132" s="167"/>
      <c r="I132" s="167"/>
      <c r="J132" s="141"/>
    </row>
    <row r="133" spans="2:10" ht="20.399999999999999" customHeight="1" x14ac:dyDescent="0.3">
      <c r="B133" s="75">
        <v>29</v>
      </c>
      <c r="C133" s="76" t="s">
        <v>71</v>
      </c>
      <c r="D133" s="77">
        <v>22</v>
      </c>
      <c r="E133" s="77">
        <v>1</v>
      </c>
      <c r="F133" s="77">
        <f t="shared" si="2"/>
        <v>23</v>
      </c>
      <c r="G133" s="77">
        <v>1</v>
      </c>
      <c r="H133" s="167"/>
      <c r="I133" s="167"/>
      <c r="J133" s="141"/>
    </row>
    <row r="134" spans="2:10" ht="20.399999999999999" customHeight="1" thickBot="1" x14ac:dyDescent="0.35">
      <c r="B134" s="75">
        <v>30</v>
      </c>
      <c r="C134" s="76" t="s">
        <v>72</v>
      </c>
      <c r="D134" s="77">
        <v>26</v>
      </c>
      <c r="E134" s="77">
        <v>2</v>
      </c>
      <c r="F134" s="77">
        <f t="shared" si="2"/>
        <v>28</v>
      </c>
      <c r="G134" s="77">
        <v>1</v>
      </c>
      <c r="H134" s="167"/>
      <c r="I134" s="167"/>
      <c r="J134" s="141"/>
    </row>
    <row r="135" spans="2:10" ht="20.399999999999999" customHeight="1" x14ac:dyDescent="0.3">
      <c r="B135" s="75">
        <v>31</v>
      </c>
      <c r="C135" s="76" t="s">
        <v>73</v>
      </c>
      <c r="D135" s="77">
        <v>32</v>
      </c>
      <c r="E135" s="77">
        <v>4</v>
      </c>
      <c r="F135" s="77">
        <f t="shared" si="2"/>
        <v>36</v>
      </c>
      <c r="G135" s="77">
        <v>2</v>
      </c>
      <c r="H135" s="167"/>
      <c r="I135" s="167"/>
      <c r="J135" s="141"/>
    </row>
    <row r="136" spans="2:10" ht="20.399999999999999" customHeight="1" x14ac:dyDescent="0.3">
      <c r="B136" s="75">
        <v>32</v>
      </c>
      <c r="C136" s="76" t="s">
        <v>74</v>
      </c>
      <c r="D136" s="77">
        <v>19</v>
      </c>
      <c r="E136" s="77">
        <v>3</v>
      </c>
      <c r="F136" s="77">
        <f t="shared" si="2"/>
        <v>22</v>
      </c>
      <c r="G136" s="77">
        <v>0</v>
      </c>
      <c r="H136" s="167"/>
      <c r="I136" s="167"/>
      <c r="J136" s="141"/>
    </row>
    <row r="137" spans="2:10" ht="20.399999999999999" customHeight="1" x14ac:dyDescent="0.3">
      <c r="B137" s="75">
        <v>33</v>
      </c>
      <c r="C137" s="76" t="s">
        <v>75</v>
      </c>
      <c r="D137" s="77">
        <v>26</v>
      </c>
      <c r="E137" s="77">
        <v>4</v>
      </c>
      <c r="F137" s="77">
        <f t="shared" si="2"/>
        <v>30</v>
      </c>
      <c r="G137" s="77">
        <v>0</v>
      </c>
      <c r="H137" s="167"/>
      <c r="I137" s="167"/>
      <c r="J137" s="141"/>
    </row>
    <row r="138" spans="2:10" ht="20.399999999999999" customHeight="1" x14ac:dyDescent="0.3">
      <c r="B138" s="75">
        <v>34</v>
      </c>
      <c r="C138" s="76" t="s">
        <v>76</v>
      </c>
      <c r="D138" s="77">
        <v>27</v>
      </c>
      <c r="E138" s="77">
        <v>1</v>
      </c>
      <c r="F138" s="77">
        <f t="shared" si="2"/>
        <v>28</v>
      </c>
      <c r="G138" s="77">
        <v>2</v>
      </c>
      <c r="H138" s="167"/>
      <c r="I138" s="167"/>
      <c r="J138" s="141"/>
    </row>
    <row r="139" spans="2:10" ht="20.399999999999999" customHeight="1" x14ac:dyDescent="0.3">
      <c r="B139" s="75">
        <v>35</v>
      </c>
      <c r="C139" s="76" t="s">
        <v>77</v>
      </c>
      <c r="D139" s="77">
        <v>26</v>
      </c>
      <c r="E139" s="77">
        <v>3</v>
      </c>
      <c r="F139" s="77">
        <f t="shared" si="2"/>
        <v>29</v>
      </c>
      <c r="G139" s="77">
        <v>0</v>
      </c>
      <c r="H139" s="168"/>
      <c r="I139" s="168"/>
      <c r="J139" s="142"/>
    </row>
    <row r="140" spans="2:10" ht="20.399999999999999" customHeight="1" x14ac:dyDescent="0.3">
      <c r="B140" s="81">
        <v>1</v>
      </c>
      <c r="C140" s="82" t="s">
        <v>44</v>
      </c>
      <c r="D140" s="83">
        <v>26</v>
      </c>
      <c r="E140" s="83">
        <v>2</v>
      </c>
      <c r="F140" s="83">
        <f t="shared" si="2"/>
        <v>28</v>
      </c>
      <c r="G140" s="83">
        <v>0</v>
      </c>
      <c r="H140" s="157">
        <f>SUM(F140:F172)+SUM(G140:G172)</f>
        <v>1016</v>
      </c>
      <c r="I140" s="184">
        <v>46366</v>
      </c>
      <c r="J140" s="159" t="s">
        <v>115</v>
      </c>
    </row>
    <row r="141" spans="2:10" ht="20.399999999999999" customHeight="1" x14ac:dyDescent="0.3">
      <c r="B141" s="81">
        <v>2</v>
      </c>
      <c r="C141" s="82" t="s">
        <v>46</v>
      </c>
      <c r="D141" s="83">
        <v>35</v>
      </c>
      <c r="E141" s="83">
        <v>0</v>
      </c>
      <c r="F141" s="83">
        <f t="shared" si="2"/>
        <v>35</v>
      </c>
      <c r="G141" s="83">
        <v>2</v>
      </c>
      <c r="H141" s="128"/>
      <c r="I141" s="128"/>
      <c r="J141" s="160"/>
    </row>
    <row r="142" spans="2:10" ht="20.399999999999999" customHeight="1" x14ac:dyDescent="0.3">
      <c r="B142" s="81">
        <v>3</v>
      </c>
      <c r="C142" s="82" t="s">
        <v>47</v>
      </c>
      <c r="D142" s="83">
        <v>28</v>
      </c>
      <c r="E142" s="83">
        <v>2</v>
      </c>
      <c r="F142" s="83">
        <f t="shared" si="2"/>
        <v>30</v>
      </c>
      <c r="G142" s="83">
        <v>2</v>
      </c>
      <c r="H142" s="128"/>
      <c r="I142" s="128"/>
      <c r="J142" s="160"/>
    </row>
    <row r="143" spans="2:10" ht="20.399999999999999" customHeight="1" x14ac:dyDescent="0.3">
      <c r="B143" s="81">
        <v>4</v>
      </c>
      <c r="C143" s="82" t="s">
        <v>48</v>
      </c>
      <c r="D143" s="83">
        <v>39</v>
      </c>
      <c r="E143" s="83">
        <v>4</v>
      </c>
      <c r="F143" s="83">
        <f t="shared" si="2"/>
        <v>43</v>
      </c>
      <c r="G143" s="83">
        <v>3</v>
      </c>
      <c r="H143" s="128"/>
      <c r="I143" s="128"/>
      <c r="J143" s="160"/>
    </row>
    <row r="144" spans="2:10" ht="20.399999999999999" customHeight="1" x14ac:dyDescent="0.3">
      <c r="B144" s="81">
        <v>5</v>
      </c>
      <c r="C144" s="82" t="s">
        <v>49</v>
      </c>
      <c r="D144" s="83">
        <v>25</v>
      </c>
      <c r="E144" s="83">
        <v>5</v>
      </c>
      <c r="F144" s="83">
        <f t="shared" si="2"/>
        <v>30</v>
      </c>
      <c r="G144" s="83">
        <v>0</v>
      </c>
      <c r="H144" s="128"/>
      <c r="I144" s="128"/>
      <c r="J144" s="160"/>
    </row>
    <row r="145" spans="2:10" ht="20.399999999999999" customHeight="1" x14ac:dyDescent="0.3">
      <c r="B145" s="81">
        <v>6</v>
      </c>
      <c r="C145" s="82" t="s">
        <v>50</v>
      </c>
      <c r="D145" s="83">
        <v>30</v>
      </c>
      <c r="E145" s="83">
        <v>5</v>
      </c>
      <c r="F145" s="83">
        <f t="shared" si="2"/>
        <v>35</v>
      </c>
      <c r="G145" s="83">
        <v>0</v>
      </c>
      <c r="H145" s="128"/>
      <c r="I145" s="128"/>
      <c r="J145" s="160"/>
    </row>
    <row r="146" spans="2:10" ht="20.399999999999999" customHeight="1" x14ac:dyDescent="0.3">
      <c r="B146" s="81">
        <v>7</v>
      </c>
      <c r="C146" s="82" t="s">
        <v>51</v>
      </c>
      <c r="D146" s="83">
        <v>27</v>
      </c>
      <c r="E146" s="83">
        <v>2</v>
      </c>
      <c r="F146" s="83">
        <f t="shared" si="2"/>
        <v>29</v>
      </c>
      <c r="G146" s="83">
        <v>1</v>
      </c>
      <c r="H146" s="128"/>
      <c r="I146" s="128"/>
      <c r="J146" s="160"/>
    </row>
    <row r="147" spans="2:10" ht="20.399999999999999" customHeight="1" x14ac:dyDescent="0.3">
      <c r="B147" s="81">
        <v>8</v>
      </c>
      <c r="C147" s="82" t="s">
        <v>52</v>
      </c>
      <c r="D147" s="83">
        <v>25</v>
      </c>
      <c r="E147" s="83">
        <v>4</v>
      </c>
      <c r="F147" s="83">
        <f t="shared" si="2"/>
        <v>29</v>
      </c>
      <c r="G147" s="83">
        <v>0</v>
      </c>
      <c r="H147" s="128"/>
      <c r="I147" s="128"/>
      <c r="J147" s="160"/>
    </row>
    <row r="148" spans="2:10" ht="20.399999999999999" customHeight="1" x14ac:dyDescent="0.3">
      <c r="B148" s="81">
        <v>9</v>
      </c>
      <c r="C148" s="82" t="s">
        <v>53</v>
      </c>
      <c r="D148" s="83">
        <v>26</v>
      </c>
      <c r="E148" s="83">
        <v>0</v>
      </c>
      <c r="F148" s="83">
        <f t="shared" si="2"/>
        <v>26</v>
      </c>
      <c r="G148" s="83">
        <v>2</v>
      </c>
      <c r="H148" s="128"/>
      <c r="I148" s="128"/>
      <c r="J148" s="160"/>
    </row>
    <row r="149" spans="2:10" ht="20.399999999999999" customHeight="1" x14ac:dyDescent="0.3">
      <c r="B149" s="81">
        <v>10</v>
      </c>
      <c r="C149" s="82" t="s">
        <v>54</v>
      </c>
      <c r="D149" s="83">
        <v>23</v>
      </c>
      <c r="E149" s="83">
        <v>8</v>
      </c>
      <c r="F149" s="83">
        <f t="shared" si="2"/>
        <v>31</v>
      </c>
      <c r="G149" s="83">
        <v>2</v>
      </c>
      <c r="H149" s="128"/>
      <c r="I149" s="128"/>
      <c r="J149" s="160"/>
    </row>
    <row r="150" spans="2:10" ht="20.399999999999999" customHeight="1" x14ac:dyDescent="0.3">
      <c r="B150" s="81">
        <v>11</v>
      </c>
      <c r="C150" s="82" t="s">
        <v>55</v>
      </c>
      <c r="D150" s="83">
        <v>25</v>
      </c>
      <c r="E150" s="83">
        <v>3</v>
      </c>
      <c r="F150" s="83">
        <f t="shared" si="2"/>
        <v>28</v>
      </c>
      <c r="G150" s="83">
        <v>0</v>
      </c>
      <c r="H150" s="128"/>
      <c r="I150" s="128"/>
      <c r="J150" s="160"/>
    </row>
    <row r="151" spans="2:10" ht="20.399999999999999" customHeight="1" x14ac:dyDescent="0.3">
      <c r="B151" s="81">
        <v>12</v>
      </c>
      <c r="C151" s="82" t="s">
        <v>56</v>
      </c>
      <c r="D151" s="83">
        <v>35</v>
      </c>
      <c r="E151" s="83">
        <v>3</v>
      </c>
      <c r="F151" s="83">
        <f t="shared" si="2"/>
        <v>38</v>
      </c>
      <c r="G151" s="83">
        <v>2</v>
      </c>
      <c r="H151" s="128"/>
      <c r="I151" s="128"/>
      <c r="J151" s="160"/>
    </row>
    <row r="152" spans="2:10" ht="20.399999999999999" customHeight="1" x14ac:dyDescent="0.3">
      <c r="B152" s="81">
        <v>13</v>
      </c>
      <c r="C152" s="82" t="s">
        <v>57</v>
      </c>
      <c r="D152" s="83">
        <v>15</v>
      </c>
      <c r="E152" s="83">
        <v>3</v>
      </c>
      <c r="F152" s="83">
        <f t="shared" si="2"/>
        <v>18</v>
      </c>
      <c r="G152" s="83">
        <v>1</v>
      </c>
      <c r="H152" s="128"/>
      <c r="I152" s="128"/>
      <c r="J152" s="160"/>
    </row>
    <row r="153" spans="2:10" ht="20.399999999999999" customHeight="1" x14ac:dyDescent="0.3">
      <c r="B153" s="81">
        <v>14</v>
      </c>
      <c r="C153" s="82" t="s">
        <v>58</v>
      </c>
      <c r="D153" s="83">
        <v>39</v>
      </c>
      <c r="E153" s="83">
        <v>4</v>
      </c>
      <c r="F153" s="83">
        <f t="shared" si="2"/>
        <v>43</v>
      </c>
      <c r="G153" s="83">
        <v>0</v>
      </c>
      <c r="H153" s="128"/>
      <c r="I153" s="128"/>
      <c r="J153" s="160"/>
    </row>
    <row r="154" spans="2:10" ht="20.399999999999999" customHeight="1" x14ac:dyDescent="0.3">
      <c r="B154" s="81">
        <v>15</v>
      </c>
      <c r="C154" s="82" t="s">
        <v>59</v>
      </c>
      <c r="D154" s="83">
        <v>23</v>
      </c>
      <c r="E154" s="83">
        <v>1</v>
      </c>
      <c r="F154" s="83">
        <f t="shared" si="2"/>
        <v>24</v>
      </c>
      <c r="G154" s="83">
        <v>1</v>
      </c>
      <c r="H154" s="128"/>
      <c r="I154" s="128"/>
      <c r="J154" s="160"/>
    </row>
    <row r="155" spans="2:10" ht="20.399999999999999" customHeight="1" x14ac:dyDescent="0.3">
      <c r="B155" s="81">
        <v>16</v>
      </c>
      <c r="C155" s="82" t="s">
        <v>60</v>
      </c>
      <c r="D155" s="83">
        <v>23</v>
      </c>
      <c r="E155" s="83">
        <v>3</v>
      </c>
      <c r="F155" s="83">
        <f t="shared" si="2"/>
        <v>26</v>
      </c>
      <c r="G155" s="83">
        <v>1</v>
      </c>
      <c r="H155" s="128"/>
      <c r="I155" s="128"/>
      <c r="J155" s="160"/>
    </row>
    <row r="156" spans="2:10" ht="20.399999999999999" customHeight="1" x14ac:dyDescent="0.3">
      <c r="B156" s="81">
        <v>17</v>
      </c>
      <c r="C156" s="82" t="s">
        <v>61</v>
      </c>
      <c r="D156" s="83">
        <v>28</v>
      </c>
      <c r="E156" s="83">
        <v>2</v>
      </c>
      <c r="F156" s="83">
        <f t="shared" si="2"/>
        <v>30</v>
      </c>
      <c r="G156" s="83">
        <v>2</v>
      </c>
      <c r="H156" s="128"/>
      <c r="I156" s="128"/>
      <c r="J156" s="160"/>
    </row>
    <row r="157" spans="2:10" ht="20.399999999999999" customHeight="1" x14ac:dyDescent="0.3">
      <c r="B157" s="81">
        <v>18</v>
      </c>
      <c r="C157" s="82" t="s">
        <v>62</v>
      </c>
      <c r="D157" s="83">
        <v>10</v>
      </c>
      <c r="E157" s="83">
        <v>1</v>
      </c>
      <c r="F157" s="83">
        <f t="shared" si="2"/>
        <v>11</v>
      </c>
      <c r="G157" s="83">
        <v>1</v>
      </c>
      <c r="H157" s="128"/>
      <c r="I157" s="128"/>
      <c r="J157" s="160"/>
    </row>
    <row r="158" spans="2:10" ht="20.399999999999999" customHeight="1" thickBot="1" x14ac:dyDescent="0.35">
      <c r="B158" s="81">
        <v>19</v>
      </c>
      <c r="C158" s="82" t="s">
        <v>63</v>
      </c>
      <c r="D158" s="83">
        <v>21</v>
      </c>
      <c r="E158" s="83">
        <v>0</v>
      </c>
      <c r="F158" s="83">
        <f t="shared" si="2"/>
        <v>21</v>
      </c>
      <c r="G158" s="83">
        <v>1</v>
      </c>
      <c r="H158" s="128"/>
      <c r="I158" s="128"/>
      <c r="J158" s="160"/>
    </row>
    <row r="159" spans="2:10" ht="20.399999999999999" customHeight="1" x14ac:dyDescent="0.3">
      <c r="B159" s="81">
        <v>20</v>
      </c>
      <c r="C159" s="82" t="s">
        <v>64</v>
      </c>
      <c r="D159" s="83">
        <v>27</v>
      </c>
      <c r="E159" s="83">
        <v>3</v>
      </c>
      <c r="F159" s="83">
        <f t="shared" si="2"/>
        <v>30</v>
      </c>
      <c r="G159" s="83">
        <v>2</v>
      </c>
      <c r="H159" s="128"/>
      <c r="I159" s="128"/>
      <c r="J159" s="160"/>
    </row>
    <row r="160" spans="2:10" ht="20.399999999999999" customHeight="1" x14ac:dyDescent="0.3">
      <c r="B160" s="81">
        <v>21</v>
      </c>
      <c r="C160" s="82" t="s">
        <v>65</v>
      </c>
      <c r="D160" s="83">
        <v>35</v>
      </c>
      <c r="E160" s="83">
        <v>4</v>
      </c>
      <c r="F160" s="83">
        <f t="shared" si="2"/>
        <v>39</v>
      </c>
      <c r="G160" s="83">
        <v>2</v>
      </c>
      <c r="H160" s="128"/>
      <c r="I160" s="128"/>
      <c r="J160" s="160"/>
    </row>
    <row r="161" spans="2:10" ht="20.399999999999999" customHeight="1" x14ac:dyDescent="0.3">
      <c r="B161" s="81">
        <v>22</v>
      </c>
      <c r="C161" s="82" t="s">
        <v>66</v>
      </c>
      <c r="D161" s="83">
        <v>35</v>
      </c>
      <c r="E161" s="83">
        <v>2</v>
      </c>
      <c r="F161" s="83">
        <f t="shared" si="2"/>
        <v>37</v>
      </c>
      <c r="G161" s="83">
        <v>0</v>
      </c>
      <c r="H161" s="128"/>
      <c r="I161" s="128"/>
      <c r="J161" s="160"/>
    </row>
    <row r="162" spans="2:10" ht="20.399999999999999" customHeight="1" x14ac:dyDescent="0.3">
      <c r="B162" s="81">
        <v>23</v>
      </c>
      <c r="C162" s="82" t="s">
        <v>67</v>
      </c>
      <c r="D162" s="83">
        <v>30</v>
      </c>
      <c r="E162" s="83">
        <v>4</v>
      </c>
      <c r="F162" s="83">
        <f t="shared" si="2"/>
        <v>34</v>
      </c>
      <c r="G162" s="83">
        <v>2</v>
      </c>
      <c r="H162" s="128"/>
      <c r="I162" s="128"/>
      <c r="J162" s="160"/>
    </row>
    <row r="163" spans="2:10" ht="20.399999999999999" customHeight="1" x14ac:dyDescent="0.3">
      <c r="B163" s="81">
        <v>24</v>
      </c>
      <c r="C163" s="82" t="s">
        <v>68</v>
      </c>
      <c r="D163" s="83">
        <v>26</v>
      </c>
      <c r="E163" s="83">
        <v>4</v>
      </c>
      <c r="F163" s="83">
        <f t="shared" si="2"/>
        <v>30</v>
      </c>
      <c r="G163" s="83">
        <v>1</v>
      </c>
      <c r="H163" s="128"/>
      <c r="I163" s="128"/>
      <c r="J163" s="160"/>
    </row>
    <row r="164" spans="2:10" ht="20.399999999999999" customHeight="1" x14ac:dyDescent="0.3">
      <c r="B164" s="81">
        <v>25</v>
      </c>
      <c r="C164" s="82" t="s">
        <v>69</v>
      </c>
      <c r="D164" s="83">
        <v>28</v>
      </c>
      <c r="E164" s="83">
        <v>0</v>
      </c>
      <c r="F164" s="83">
        <f t="shared" si="2"/>
        <v>28</v>
      </c>
      <c r="G164" s="83">
        <v>2</v>
      </c>
      <c r="H164" s="128"/>
      <c r="I164" s="128"/>
      <c r="J164" s="160"/>
    </row>
    <row r="165" spans="2:10" ht="20.399999999999999" customHeight="1" x14ac:dyDescent="0.3">
      <c r="B165" s="81">
        <v>26</v>
      </c>
      <c r="C165" s="82" t="s">
        <v>70</v>
      </c>
      <c r="D165" s="83">
        <v>26</v>
      </c>
      <c r="E165" s="83">
        <v>3</v>
      </c>
      <c r="F165" s="83">
        <f t="shared" si="2"/>
        <v>29</v>
      </c>
      <c r="G165" s="83">
        <v>2</v>
      </c>
      <c r="H165" s="128"/>
      <c r="I165" s="128"/>
      <c r="J165" s="160"/>
    </row>
    <row r="166" spans="2:10" ht="20.399999999999999" customHeight="1" x14ac:dyDescent="0.3">
      <c r="B166" s="81">
        <v>27</v>
      </c>
      <c r="C166" s="82" t="s">
        <v>71</v>
      </c>
      <c r="D166" s="83">
        <v>22</v>
      </c>
      <c r="E166" s="83">
        <v>1</v>
      </c>
      <c r="F166" s="83">
        <f t="shared" si="2"/>
        <v>23</v>
      </c>
      <c r="G166" s="83">
        <v>1</v>
      </c>
      <c r="H166" s="128"/>
      <c r="I166" s="128"/>
      <c r="J166" s="160"/>
    </row>
    <row r="167" spans="2:10" ht="20.399999999999999" customHeight="1" x14ac:dyDescent="0.3">
      <c r="B167" s="81">
        <v>28</v>
      </c>
      <c r="C167" s="82" t="s">
        <v>72</v>
      </c>
      <c r="D167" s="83">
        <v>26</v>
      </c>
      <c r="E167" s="83">
        <v>2</v>
      </c>
      <c r="F167" s="83">
        <f t="shared" si="2"/>
        <v>28</v>
      </c>
      <c r="G167" s="83">
        <v>1</v>
      </c>
      <c r="H167" s="128"/>
      <c r="I167" s="128"/>
      <c r="J167" s="160"/>
    </row>
    <row r="168" spans="2:10" ht="20.399999999999999" customHeight="1" x14ac:dyDescent="0.3">
      <c r="B168" s="81">
        <v>29</v>
      </c>
      <c r="C168" s="82" t="s">
        <v>73</v>
      </c>
      <c r="D168" s="83">
        <v>32</v>
      </c>
      <c r="E168" s="83">
        <v>4</v>
      </c>
      <c r="F168" s="83">
        <f t="shared" si="2"/>
        <v>36</v>
      </c>
      <c r="G168" s="83">
        <v>2</v>
      </c>
      <c r="H168" s="128"/>
      <c r="I168" s="128"/>
      <c r="J168" s="160"/>
    </row>
    <row r="169" spans="2:10" ht="20.399999999999999" customHeight="1" x14ac:dyDescent="0.3">
      <c r="B169" s="81">
        <v>30</v>
      </c>
      <c r="C169" s="82" t="s">
        <v>74</v>
      </c>
      <c r="D169" s="83">
        <v>19</v>
      </c>
      <c r="E169" s="83">
        <v>3</v>
      </c>
      <c r="F169" s="83">
        <f t="shared" si="2"/>
        <v>22</v>
      </c>
      <c r="G169" s="83">
        <v>0</v>
      </c>
      <c r="H169" s="128"/>
      <c r="I169" s="128"/>
      <c r="J169" s="160"/>
    </row>
    <row r="170" spans="2:10" ht="20.399999999999999" customHeight="1" x14ac:dyDescent="0.3">
      <c r="B170" s="81">
        <v>31</v>
      </c>
      <c r="C170" s="82" t="s">
        <v>75</v>
      </c>
      <c r="D170" s="83">
        <v>26</v>
      </c>
      <c r="E170" s="83">
        <v>4</v>
      </c>
      <c r="F170" s="83">
        <f t="shared" si="2"/>
        <v>30</v>
      </c>
      <c r="G170" s="83">
        <v>0</v>
      </c>
      <c r="H170" s="128"/>
      <c r="I170" s="128"/>
      <c r="J170" s="160"/>
    </row>
    <row r="171" spans="2:10" ht="20.399999999999999" customHeight="1" x14ac:dyDescent="0.3">
      <c r="B171" s="81">
        <v>32</v>
      </c>
      <c r="C171" s="82" t="s">
        <v>76</v>
      </c>
      <c r="D171" s="83">
        <v>27</v>
      </c>
      <c r="E171" s="83">
        <v>1</v>
      </c>
      <c r="F171" s="83">
        <f t="shared" si="2"/>
        <v>28</v>
      </c>
      <c r="G171" s="83">
        <v>2</v>
      </c>
      <c r="H171" s="128"/>
      <c r="I171" s="128"/>
      <c r="J171" s="160"/>
    </row>
    <row r="172" spans="2:10" ht="20.399999999999999" customHeight="1" x14ac:dyDescent="0.3">
      <c r="B172" s="81">
        <v>33</v>
      </c>
      <c r="C172" s="82" t="s">
        <v>77</v>
      </c>
      <c r="D172" s="83">
        <v>26</v>
      </c>
      <c r="E172" s="83">
        <v>3</v>
      </c>
      <c r="F172" s="83">
        <f t="shared" si="2"/>
        <v>29</v>
      </c>
      <c r="G172" s="83">
        <v>0</v>
      </c>
      <c r="H172" s="158"/>
      <c r="I172" s="158"/>
      <c r="J172" s="161"/>
    </row>
    <row r="173" spans="2:10" ht="20.399999999999999" customHeight="1" x14ac:dyDescent="0.3">
      <c r="B173" s="87">
        <v>1</v>
      </c>
      <c r="C173" s="88" t="s">
        <v>44</v>
      </c>
      <c r="D173" s="89">
        <v>26</v>
      </c>
      <c r="E173" s="89">
        <v>2</v>
      </c>
      <c r="F173" s="89">
        <f t="shared" si="2"/>
        <v>28</v>
      </c>
      <c r="G173" s="89">
        <v>0</v>
      </c>
      <c r="H173" s="150">
        <f>SUM(F173:F207)+SUM(G173:G207)</f>
        <v>1087</v>
      </c>
      <c r="I173" s="174">
        <v>46368</v>
      </c>
      <c r="J173" s="175" t="s">
        <v>112</v>
      </c>
    </row>
    <row r="174" spans="2:10" ht="20.399999999999999" customHeight="1" x14ac:dyDescent="0.3">
      <c r="B174" s="87">
        <v>2</v>
      </c>
      <c r="C174" s="88" t="s">
        <v>46</v>
      </c>
      <c r="D174" s="89">
        <v>35</v>
      </c>
      <c r="E174" s="89">
        <v>0</v>
      </c>
      <c r="F174" s="89">
        <f t="shared" si="2"/>
        <v>35</v>
      </c>
      <c r="G174" s="89">
        <v>2</v>
      </c>
      <c r="H174" s="151"/>
      <c r="I174" s="151"/>
      <c r="J174" s="176"/>
    </row>
    <row r="175" spans="2:10" ht="20.399999999999999" customHeight="1" x14ac:dyDescent="0.3">
      <c r="B175" s="87">
        <v>3</v>
      </c>
      <c r="C175" s="88" t="s">
        <v>47</v>
      </c>
      <c r="D175" s="89">
        <v>28</v>
      </c>
      <c r="E175" s="89">
        <v>2</v>
      </c>
      <c r="F175" s="89">
        <f t="shared" si="2"/>
        <v>30</v>
      </c>
      <c r="G175" s="89">
        <v>2</v>
      </c>
      <c r="H175" s="151"/>
      <c r="I175" s="151"/>
      <c r="J175" s="176"/>
    </row>
    <row r="176" spans="2:10" ht="20.399999999999999" customHeight="1" x14ac:dyDescent="0.3">
      <c r="B176" s="87">
        <v>4</v>
      </c>
      <c r="C176" s="88" t="s">
        <v>48</v>
      </c>
      <c r="D176" s="89">
        <v>39</v>
      </c>
      <c r="E176" s="89">
        <v>4</v>
      </c>
      <c r="F176" s="89">
        <f t="shared" si="2"/>
        <v>43</v>
      </c>
      <c r="G176" s="89">
        <v>3</v>
      </c>
      <c r="H176" s="151"/>
      <c r="I176" s="151"/>
      <c r="J176" s="176"/>
    </row>
    <row r="177" spans="2:10" ht="20.399999999999999" customHeight="1" x14ac:dyDescent="0.3">
      <c r="B177" s="87">
        <v>5</v>
      </c>
      <c r="C177" s="88" t="s">
        <v>49</v>
      </c>
      <c r="D177" s="89">
        <v>25</v>
      </c>
      <c r="E177" s="89">
        <v>5</v>
      </c>
      <c r="F177" s="89">
        <f t="shared" si="2"/>
        <v>30</v>
      </c>
      <c r="G177" s="89">
        <v>0</v>
      </c>
      <c r="H177" s="151"/>
      <c r="I177" s="151"/>
      <c r="J177" s="176"/>
    </row>
    <row r="178" spans="2:10" ht="20.399999999999999" customHeight="1" x14ac:dyDescent="0.3">
      <c r="B178" s="87">
        <v>6</v>
      </c>
      <c r="C178" s="88" t="s">
        <v>42</v>
      </c>
      <c r="D178" s="89">
        <v>34</v>
      </c>
      <c r="E178" s="89">
        <v>3</v>
      </c>
      <c r="F178" s="89">
        <f t="shared" si="2"/>
        <v>37</v>
      </c>
      <c r="G178" s="89">
        <v>1</v>
      </c>
      <c r="H178" s="151"/>
      <c r="I178" s="151"/>
      <c r="J178" s="176"/>
    </row>
    <row r="179" spans="2:10" ht="20.399999999999999" customHeight="1" x14ac:dyDescent="0.3">
      <c r="B179" s="87">
        <v>7</v>
      </c>
      <c r="C179" s="88" t="s">
        <v>50</v>
      </c>
      <c r="D179" s="89">
        <v>30</v>
      </c>
      <c r="E179" s="89">
        <v>5</v>
      </c>
      <c r="F179" s="89">
        <f t="shared" si="2"/>
        <v>35</v>
      </c>
      <c r="G179" s="89">
        <v>0</v>
      </c>
      <c r="H179" s="151"/>
      <c r="I179" s="151"/>
      <c r="J179" s="176"/>
    </row>
    <row r="180" spans="2:10" ht="20.399999999999999" customHeight="1" x14ac:dyDescent="0.3">
      <c r="B180" s="87">
        <v>8</v>
      </c>
      <c r="C180" s="88" t="s">
        <v>43</v>
      </c>
      <c r="D180" s="89">
        <v>29</v>
      </c>
      <c r="E180" s="89">
        <v>3</v>
      </c>
      <c r="F180" s="89">
        <f t="shared" si="2"/>
        <v>32</v>
      </c>
      <c r="G180" s="89">
        <v>1</v>
      </c>
      <c r="H180" s="151"/>
      <c r="I180" s="151"/>
      <c r="J180" s="176"/>
    </row>
    <row r="181" spans="2:10" ht="20.399999999999999" customHeight="1" x14ac:dyDescent="0.3">
      <c r="B181" s="87">
        <v>9</v>
      </c>
      <c r="C181" s="88" t="s">
        <v>51</v>
      </c>
      <c r="D181" s="89">
        <v>27</v>
      </c>
      <c r="E181" s="89">
        <v>2</v>
      </c>
      <c r="F181" s="89">
        <f t="shared" si="2"/>
        <v>29</v>
      </c>
      <c r="G181" s="89">
        <v>1</v>
      </c>
      <c r="H181" s="151"/>
      <c r="I181" s="151"/>
      <c r="J181" s="176"/>
    </row>
    <row r="182" spans="2:10" ht="20.399999999999999" customHeight="1" thickBot="1" x14ac:dyDescent="0.35">
      <c r="B182" s="87">
        <v>10</v>
      </c>
      <c r="C182" s="88" t="s">
        <v>52</v>
      </c>
      <c r="D182" s="89">
        <v>25</v>
      </c>
      <c r="E182" s="89">
        <v>4</v>
      </c>
      <c r="F182" s="89">
        <f t="shared" si="2"/>
        <v>29</v>
      </c>
      <c r="G182" s="89">
        <v>0</v>
      </c>
      <c r="H182" s="151"/>
      <c r="I182" s="151"/>
      <c r="J182" s="176"/>
    </row>
    <row r="183" spans="2:10" ht="20.399999999999999" customHeight="1" x14ac:dyDescent="0.3">
      <c r="B183" s="87">
        <v>11</v>
      </c>
      <c r="C183" s="88" t="s">
        <v>53</v>
      </c>
      <c r="D183" s="89">
        <v>26</v>
      </c>
      <c r="E183" s="89">
        <v>0</v>
      </c>
      <c r="F183" s="89">
        <f t="shared" si="2"/>
        <v>26</v>
      </c>
      <c r="G183" s="89">
        <v>2</v>
      </c>
      <c r="H183" s="151"/>
      <c r="I183" s="151"/>
      <c r="J183" s="176"/>
    </row>
    <row r="184" spans="2:10" ht="20.399999999999999" customHeight="1" x14ac:dyDescent="0.3">
      <c r="B184" s="87">
        <v>12</v>
      </c>
      <c r="C184" s="88" t="s">
        <v>54</v>
      </c>
      <c r="D184" s="89">
        <v>23</v>
      </c>
      <c r="E184" s="89">
        <v>8</v>
      </c>
      <c r="F184" s="89">
        <f t="shared" si="2"/>
        <v>31</v>
      </c>
      <c r="G184" s="89">
        <v>2</v>
      </c>
      <c r="H184" s="151"/>
      <c r="I184" s="151"/>
      <c r="J184" s="176"/>
    </row>
    <row r="185" spans="2:10" ht="20.399999999999999" customHeight="1" x14ac:dyDescent="0.3">
      <c r="B185" s="87">
        <v>13</v>
      </c>
      <c r="C185" s="88" t="s">
        <v>55</v>
      </c>
      <c r="D185" s="89">
        <v>25</v>
      </c>
      <c r="E185" s="89">
        <v>3</v>
      </c>
      <c r="F185" s="89">
        <f t="shared" si="2"/>
        <v>28</v>
      </c>
      <c r="G185" s="89">
        <v>0</v>
      </c>
      <c r="H185" s="151"/>
      <c r="I185" s="151"/>
      <c r="J185" s="176"/>
    </row>
    <row r="186" spans="2:10" ht="20.399999999999999" customHeight="1" x14ac:dyDescent="0.3">
      <c r="B186" s="87">
        <v>14</v>
      </c>
      <c r="C186" s="88" t="s">
        <v>56</v>
      </c>
      <c r="D186" s="89">
        <v>35</v>
      </c>
      <c r="E186" s="89">
        <v>3</v>
      </c>
      <c r="F186" s="89">
        <f t="shared" si="2"/>
        <v>38</v>
      </c>
      <c r="G186" s="89">
        <v>2</v>
      </c>
      <c r="H186" s="151"/>
      <c r="I186" s="151"/>
      <c r="J186" s="176"/>
    </row>
    <row r="187" spans="2:10" ht="20.399999999999999" customHeight="1" x14ac:dyDescent="0.3">
      <c r="B187" s="87">
        <v>15</v>
      </c>
      <c r="C187" s="88" t="s">
        <v>57</v>
      </c>
      <c r="D187" s="89">
        <v>15</v>
      </c>
      <c r="E187" s="89">
        <v>3</v>
      </c>
      <c r="F187" s="89">
        <f t="shared" si="2"/>
        <v>18</v>
      </c>
      <c r="G187" s="89">
        <v>1</v>
      </c>
      <c r="H187" s="151"/>
      <c r="I187" s="151"/>
      <c r="J187" s="176"/>
    </row>
    <row r="188" spans="2:10" ht="20.399999999999999" customHeight="1" x14ac:dyDescent="0.3">
      <c r="B188" s="87">
        <v>16</v>
      </c>
      <c r="C188" s="88" t="s">
        <v>58</v>
      </c>
      <c r="D188" s="89">
        <v>39</v>
      </c>
      <c r="E188" s="89">
        <v>4</v>
      </c>
      <c r="F188" s="89">
        <f t="shared" si="2"/>
        <v>43</v>
      </c>
      <c r="G188" s="89">
        <v>0</v>
      </c>
      <c r="H188" s="151"/>
      <c r="I188" s="151"/>
      <c r="J188" s="176"/>
    </row>
    <row r="189" spans="2:10" ht="20.399999999999999" customHeight="1" x14ac:dyDescent="0.3">
      <c r="B189" s="87">
        <v>17</v>
      </c>
      <c r="C189" s="88" t="s">
        <v>59</v>
      </c>
      <c r="D189" s="89">
        <v>23</v>
      </c>
      <c r="E189" s="89">
        <v>1</v>
      </c>
      <c r="F189" s="89">
        <f t="shared" si="2"/>
        <v>24</v>
      </c>
      <c r="G189" s="89">
        <v>1</v>
      </c>
      <c r="H189" s="151"/>
      <c r="I189" s="151"/>
      <c r="J189" s="176"/>
    </row>
    <row r="190" spans="2:10" ht="20.399999999999999" customHeight="1" x14ac:dyDescent="0.3">
      <c r="B190" s="87">
        <v>18</v>
      </c>
      <c r="C190" s="88" t="s">
        <v>60</v>
      </c>
      <c r="D190" s="89">
        <v>23</v>
      </c>
      <c r="E190" s="89">
        <v>3</v>
      </c>
      <c r="F190" s="89">
        <f t="shared" si="2"/>
        <v>26</v>
      </c>
      <c r="G190" s="89">
        <v>1</v>
      </c>
      <c r="H190" s="151"/>
      <c r="I190" s="151"/>
      <c r="J190" s="176"/>
    </row>
    <row r="191" spans="2:10" ht="20.399999999999999" customHeight="1" x14ac:dyDescent="0.3">
      <c r="B191" s="87">
        <v>19</v>
      </c>
      <c r="C191" s="88" t="s">
        <v>61</v>
      </c>
      <c r="D191" s="89">
        <v>28</v>
      </c>
      <c r="E191" s="89">
        <v>2</v>
      </c>
      <c r="F191" s="89">
        <f t="shared" si="2"/>
        <v>30</v>
      </c>
      <c r="G191" s="89">
        <v>2</v>
      </c>
      <c r="H191" s="151"/>
      <c r="I191" s="151"/>
      <c r="J191" s="176"/>
    </row>
    <row r="192" spans="2:10" ht="20.399999999999999" customHeight="1" x14ac:dyDescent="0.3">
      <c r="B192" s="87">
        <v>20</v>
      </c>
      <c r="C192" s="88" t="s">
        <v>62</v>
      </c>
      <c r="D192" s="89">
        <v>10</v>
      </c>
      <c r="E192" s="89">
        <v>1</v>
      </c>
      <c r="F192" s="89">
        <f t="shared" si="2"/>
        <v>11</v>
      </c>
      <c r="G192" s="89">
        <v>1</v>
      </c>
      <c r="H192" s="151"/>
      <c r="I192" s="151"/>
      <c r="J192" s="176"/>
    </row>
    <row r="193" spans="2:10" ht="20.399999999999999" customHeight="1" x14ac:dyDescent="0.3">
      <c r="B193" s="87">
        <v>21</v>
      </c>
      <c r="C193" s="88" t="s">
        <v>63</v>
      </c>
      <c r="D193" s="89">
        <v>21</v>
      </c>
      <c r="E193" s="89">
        <v>0</v>
      </c>
      <c r="F193" s="89">
        <f t="shared" si="2"/>
        <v>21</v>
      </c>
      <c r="G193" s="89">
        <v>1</v>
      </c>
      <c r="H193" s="151"/>
      <c r="I193" s="151"/>
      <c r="J193" s="176"/>
    </row>
    <row r="194" spans="2:10" ht="20.399999999999999" customHeight="1" x14ac:dyDescent="0.3">
      <c r="B194" s="87">
        <v>22</v>
      </c>
      <c r="C194" s="88" t="s">
        <v>64</v>
      </c>
      <c r="D194" s="89">
        <v>27</v>
      </c>
      <c r="E194" s="89">
        <v>3</v>
      </c>
      <c r="F194" s="89">
        <f t="shared" si="2"/>
        <v>30</v>
      </c>
      <c r="G194" s="89">
        <v>2</v>
      </c>
      <c r="H194" s="151"/>
      <c r="I194" s="151"/>
      <c r="J194" s="176"/>
    </row>
    <row r="195" spans="2:10" ht="20.399999999999999" customHeight="1" x14ac:dyDescent="0.3">
      <c r="B195" s="87">
        <v>23</v>
      </c>
      <c r="C195" s="88" t="s">
        <v>65</v>
      </c>
      <c r="D195" s="89">
        <v>35</v>
      </c>
      <c r="E195" s="89">
        <v>4</v>
      </c>
      <c r="F195" s="89">
        <f t="shared" si="2"/>
        <v>39</v>
      </c>
      <c r="G195" s="89">
        <v>2</v>
      </c>
      <c r="H195" s="151"/>
      <c r="I195" s="151"/>
      <c r="J195" s="176"/>
    </row>
    <row r="196" spans="2:10" ht="20.399999999999999" customHeight="1" x14ac:dyDescent="0.3">
      <c r="B196" s="87">
        <v>24</v>
      </c>
      <c r="C196" s="88" t="s">
        <v>66</v>
      </c>
      <c r="D196" s="89">
        <v>35</v>
      </c>
      <c r="E196" s="89">
        <v>2</v>
      </c>
      <c r="F196" s="89">
        <f t="shared" ref="F196:F259" si="3">D196+E196</f>
        <v>37</v>
      </c>
      <c r="G196" s="89">
        <v>0</v>
      </c>
      <c r="H196" s="151"/>
      <c r="I196" s="151"/>
      <c r="J196" s="176"/>
    </row>
    <row r="197" spans="2:10" ht="20.399999999999999" customHeight="1" x14ac:dyDescent="0.3">
      <c r="B197" s="87">
        <v>25</v>
      </c>
      <c r="C197" s="88" t="s">
        <v>67</v>
      </c>
      <c r="D197" s="89">
        <v>30</v>
      </c>
      <c r="E197" s="89">
        <v>4</v>
      </c>
      <c r="F197" s="89">
        <f t="shared" si="3"/>
        <v>34</v>
      </c>
      <c r="G197" s="89">
        <v>2</v>
      </c>
      <c r="H197" s="151"/>
      <c r="I197" s="151"/>
      <c r="J197" s="176"/>
    </row>
    <row r="198" spans="2:10" ht="20.399999999999999" customHeight="1" x14ac:dyDescent="0.3">
      <c r="B198" s="87">
        <v>26</v>
      </c>
      <c r="C198" s="88" t="s">
        <v>68</v>
      </c>
      <c r="D198" s="89">
        <v>26</v>
      </c>
      <c r="E198" s="89">
        <v>4</v>
      </c>
      <c r="F198" s="89">
        <f t="shared" si="3"/>
        <v>30</v>
      </c>
      <c r="G198" s="89">
        <v>1</v>
      </c>
      <c r="H198" s="151"/>
      <c r="I198" s="151"/>
      <c r="J198" s="176"/>
    </row>
    <row r="199" spans="2:10" ht="20.399999999999999" customHeight="1" x14ac:dyDescent="0.3">
      <c r="B199" s="87">
        <v>27</v>
      </c>
      <c r="C199" s="88" t="s">
        <v>69</v>
      </c>
      <c r="D199" s="89">
        <v>28</v>
      </c>
      <c r="E199" s="89">
        <v>0</v>
      </c>
      <c r="F199" s="89">
        <f t="shared" si="3"/>
        <v>28</v>
      </c>
      <c r="G199" s="89">
        <v>2</v>
      </c>
      <c r="H199" s="151"/>
      <c r="I199" s="151"/>
      <c r="J199" s="176"/>
    </row>
    <row r="200" spans="2:10" ht="20.399999999999999" customHeight="1" x14ac:dyDescent="0.3">
      <c r="B200" s="87">
        <v>28</v>
      </c>
      <c r="C200" s="88" t="s">
        <v>70</v>
      </c>
      <c r="D200" s="89">
        <v>26</v>
      </c>
      <c r="E200" s="89">
        <v>3</v>
      </c>
      <c r="F200" s="89">
        <f t="shared" si="3"/>
        <v>29</v>
      </c>
      <c r="G200" s="89">
        <v>2</v>
      </c>
      <c r="H200" s="151"/>
      <c r="I200" s="151"/>
      <c r="J200" s="176"/>
    </row>
    <row r="201" spans="2:10" ht="20.399999999999999" customHeight="1" x14ac:dyDescent="0.3">
      <c r="B201" s="87">
        <v>29</v>
      </c>
      <c r="C201" s="88" t="s">
        <v>71</v>
      </c>
      <c r="D201" s="89">
        <v>22</v>
      </c>
      <c r="E201" s="89">
        <v>1</v>
      </c>
      <c r="F201" s="89">
        <f t="shared" si="3"/>
        <v>23</v>
      </c>
      <c r="G201" s="89">
        <v>1</v>
      </c>
      <c r="H201" s="151"/>
      <c r="I201" s="151"/>
      <c r="J201" s="176"/>
    </row>
    <row r="202" spans="2:10" ht="20.399999999999999" customHeight="1" x14ac:dyDescent="0.3">
      <c r="B202" s="87">
        <v>30</v>
      </c>
      <c r="C202" s="88" t="s">
        <v>72</v>
      </c>
      <c r="D202" s="89">
        <v>26</v>
      </c>
      <c r="E202" s="89">
        <v>2</v>
      </c>
      <c r="F202" s="89">
        <f t="shared" si="3"/>
        <v>28</v>
      </c>
      <c r="G202" s="89">
        <v>1</v>
      </c>
      <c r="H202" s="151"/>
      <c r="I202" s="151"/>
      <c r="J202" s="176"/>
    </row>
    <row r="203" spans="2:10" ht="20.399999999999999" customHeight="1" x14ac:dyDescent="0.3">
      <c r="B203" s="87">
        <v>31</v>
      </c>
      <c r="C203" s="88" t="s">
        <v>73</v>
      </c>
      <c r="D203" s="89">
        <v>32</v>
      </c>
      <c r="E203" s="89">
        <v>4</v>
      </c>
      <c r="F203" s="89">
        <f t="shared" si="3"/>
        <v>36</v>
      </c>
      <c r="G203" s="89">
        <v>2</v>
      </c>
      <c r="H203" s="151"/>
      <c r="I203" s="151"/>
      <c r="J203" s="176"/>
    </row>
    <row r="204" spans="2:10" ht="20.399999999999999" customHeight="1" x14ac:dyDescent="0.3">
      <c r="B204" s="87">
        <v>32</v>
      </c>
      <c r="C204" s="88" t="s">
        <v>74</v>
      </c>
      <c r="D204" s="89">
        <v>19</v>
      </c>
      <c r="E204" s="89">
        <v>3</v>
      </c>
      <c r="F204" s="89">
        <f t="shared" si="3"/>
        <v>22</v>
      </c>
      <c r="G204" s="89">
        <v>0</v>
      </c>
      <c r="H204" s="151"/>
      <c r="I204" s="151"/>
      <c r="J204" s="176"/>
    </row>
    <row r="205" spans="2:10" ht="20.399999999999999" customHeight="1" thickBot="1" x14ac:dyDescent="0.35">
      <c r="B205" s="87">
        <v>33</v>
      </c>
      <c r="C205" s="88" t="s">
        <v>75</v>
      </c>
      <c r="D205" s="89">
        <v>26</v>
      </c>
      <c r="E205" s="89">
        <v>4</v>
      </c>
      <c r="F205" s="89">
        <f t="shared" si="3"/>
        <v>30</v>
      </c>
      <c r="G205" s="89">
        <v>0</v>
      </c>
      <c r="H205" s="151"/>
      <c r="I205" s="151"/>
      <c r="J205" s="176"/>
    </row>
    <row r="206" spans="2:10" ht="20.399999999999999" customHeight="1" x14ac:dyDescent="0.3">
      <c r="B206" s="87">
        <v>34</v>
      </c>
      <c r="C206" s="88" t="s">
        <v>76</v>
      </c>
      <c r="D206" s="89">
        <v>27</v>
      </c>
      <c r="E206" s="89">
        <v>1</v>
      </c>
      <c r="F206" s="89">
        <f t="shared" si="3"/>
        <v>28</v>
      </c>
      <c r="G206" s="89">
        <v>2</v>
      </c>
      <c r="H206" s="151"/>
      <c r="I206" s="151"/>
      <c r="J206" s="176"/>
    </row>
    <row r="207" spans="2:10" ht="20.399999999999999" customHeight="1" x14ac:dyDescent="0.3">
      <c r="B207" s="87">
        <v>35</v>
      </c>
      <c r="C207" s="88" t="s">
        <v>77</v>
      </c>
      <c r="D207" s="89">
        <v>26</v>
      </c>
      <c r="E207" s="89">
        <v>3</v>
      </c>
      <c r="F207" s="89">
        <f t="shared" si="3"/>
        <v>29</v>
      </c>
      <c r="G207" s="89">
        <v>0</v>
      </c>
      <c r="H207" s="152"/>
      <c r="I207" s="152"/>
      <c r="J207" s="177"/>
    </row>
    <row r="208" spans="2:10" ht="20.399999999999999" customHeight="1" x14ac:dyDescent="0.3">
      <c r="B208" s="90">
        <v>1</v>
      </c>
      <c r="C208" s="91" t="s">
        <v>44</v>
      </c>
      <c r="D208" s="92">
        <v>26</v>
      </c>
      <c r="E208" s="92">
        <v>2</v>
      </c>
      <c r="F208" s="92">
        <f t="shared" si="3"/>
        <v>28</v>
      </c>
      <c r="G208" s="92">
        <v>0</v>
      </c>
      <c r="H208" s="155">
        <f>SUM(F208:F240)+SUM(G208:G240)</f>
        <v>1016</v>
      </c>
      <c r="I208" s="181">
        <v>46369</v>
      </c>
      <c r="J208" s="178" t="s">
        <v>116</v>
      </c>
    </row>
    <row r="209" spans="2:10" ht="20.399999999999999" customHeight="1" x14ac:dyDescent="0.3">
      <c r="B209" s="90">
        <v>2</v>
      </c>
      <c r="C209" s="91" t="s">
        <v>46</v>
      </c>
      <c r="D209" s="92">
        <v>35</v>
      </c>
      <c r="E209" s="92">
        <v>0</v>
      </c>
      <c r="F209" s="92">
        <f t="shared" si="3"/>
        <v>35</v>
      </c>
      <c r="G209" s="92">
        <v>2</v>
      </c>
      <c r="H209" s="125"/>
      <c r="I209" s="125"/>
      <c r="J209" s="179"/>
    </row>
    <row r="210" spans="2:10" ht="20.399999999999999" customHeight="1" x14ac:dyDescent="0.3">
      <c r="B210" s="90">
        <v>3</v>
      </c>
      <c r="C210" s="91" t="s">
        <v>47</v>
      </c>
      <c r="D210" s="92">
        <v>28</v>
      </c>
      <c r="E210" s="92">
        <v>2</v>
      </c>
      <c r="F210" s="92">
        <f t="shared" si="3"/>
        <v>30</v>
      </c>
      <c r="G210" s="92">
        <v>2</v>
      </c>
      <c r="H210" s="125"/>
      <c r="I210" s="125"/>
      <c r="J210" s="179"/>
    </row>
    <row r="211" spans="2:10" ht="20.399999999999999" customHeight="1" x14ac:dyDescent="0.3">
      <c r="B211" s="90">
        <v>4</v>
      </c>
      <c r="C211" s="91" t="s">
        <v>48</v>
      </c>
      <c r="D211" s="92">
        <v>39</v>
      </c>
      <c r="E211" s="92">
        <v>4</v>
      </c>
      <c r="F211" s="92">
        <f t="shared" si="3"/>
        <v>43</v>
      </c>
      <c r="G211" s="92">
        <v>3</v>
      </c>
      <c r="H211" s="125"/>
      <c r="I211" s="125"/>
      <c r="J211" s="179"/>
    </row>
    <row r="212" spans="2:10" ht="20.399999999999999" customHeight="1" x14ac:dyDescent="0.3">
      <c r="B212" s="90">
        <v>5</v>
      </c>
      <c r="C212" s="91" t="s">
        <v>49</v>
      </c>
      <c r="D212" s="92">
        <v>25</v>
      </c>
      <c r="E212" s="92">
        <v>5</v>
      </c>
      <c r="F212" s="92">
        <f t="shared" si="3"/>
        <v>30</v>
      </c>
      <c r="G212" s="92">
        <v>0</v>
      </c>
      <c r="H212" s="125"/>
      <c r="I212" s="125"/>
      <c r="J212" s="179"/>
    </row>
    <row r="213" spans="2:10" ht="20.399999999999999" customHeight="1" thickBot="1" x14ac:dyDescent="0.35">
      <c r="B213" s="90">
        <v>6</v>
      </c>
      <c r="C213" s="91" t="s">
        <v>50</v>
      </c>
      <c r="D213" s="92">
        <v>30</v>
      </c>
      <c r="E213" s="92">
        <v>5</v>
      </c>
      <c r="F213" s="92">
        <f t="shared" si="3"/>
        <v>35</v>
      </c>
      <c r="G213" s="92">
        <v>0</v>
      </c>
      <c r="H213" s="125"/>
      <c r="I213" s="125"/>
      <c r="J213" s="179"/>
    </row>
    <row r="214" spans="2:10" ht="20.399999999999999" customHeight="1" x14ac:dyDescent="0.3">
      <c r="B214" s="90">
        <v>7</v>
      </c>
      <c r="C214" s="91" t="s">
        <v>51</v>
      </c>
      <c r="D214" s="92">
        <v>27</v>
      </c>
      <c r="E214" s="92">
        <v>2</v>
      </c>
      <c r="F214" s="92">
        <f t="shared" si="3"/>
        <v>29</v>
      </c>
      <c r="G214" s="92">
        <v>1</v>
      </c>
      <c r="H214" s="125"/>
      <c r="I214" s="125"/>
      <c r="J214" s="179"/>
    </row>
    <row r="215" spans="2:10" ht="20.399999999999999" customHeight="1" x14ac:dyDescent="0.3">
      <c r="B215" s="90">
        <v>8</v>
      </c>
      <c r="C215" s="91" t="s">
        <v>52</v>
      </c>
      <c r="D215" s="92">
        <v>25</v>
      </c>
      <c r="E215" s="92">
        <v>4</v>
      </c>
      <c r="F215" s="92">
        <f t="shared" si="3"/>
        <v>29</v>
      </c>
      <c r="G215" s="92">
        <v>0</v>
      </c>
      <c r="H215" s="125"/>
      <c r="I215" s="125"/>
      <c r="J215" s="179"/>
    </row>
    <row r="216" spans="2:10" ht="20.399999999999999" customHeight="1" x14ac:dyDescent="0.3">
      <c r="B216" s="90">
        <v>9</v>
      </c>
      <c r="C216" s="91" t="s">
        <v>53</v>
      </c>
      <c r="D216" s="92">
        <v>26</v>
      </c>
      <c r="E216" s="92">
        <v>0</v>
      </c>
      <c r="F216" s="92">
        <f t="shared" si="3"/>
        <v>26</v>
      </c>
      <c r="G216" s="92">
        <v>2</v>
      </c>
      <c r="H216" s="125"/>
      <c r="I216" s="125"/>
      <c r="J216" s="179"/>
    </row>
    <row r="217" spans="2:10" ht="20.399999999999999" customHeight="1" x14ac:dyDescent="0.3">
      <c r="B217" s="90">
        <v>10</v>
      </c>
      <c r="C217" s="91" t="s">
        <v>54</v>
      </c>
      <c r="D217" s="92">
        <v>23</v>
      </c>
      <c r="E217" s="92">
        <v>8</v>
      </c>
      <c r="F217" s="92">
        <f t="shared" si="3"/>
        <v>31</v>
      </c>
      <c r="G217" s="92">
        <v>2</v>
      </c>
      <c r="H217" s="125"/>
      <c r="I217" s="125"/>
      <c r="J217" s="179"/>
    </row>
    <row r="218" spans="2:10" ht="20.399999999999999" customHeight="1" x14ac:dyDescent="0.3">
      <c r="B218" s="90">
        <v>11</v>
      </c>
      <c r="C218" s="91" t="s">
        <v>55</v>
      </c>
      <c r="D218" s="92">
        <v>25</v>
      </c>
      <c r="E218" s="92">
        <v>3</v>
      </c>
      <c r="F218" s="92">
        <f t="shared" si="3"/>
        <v>28</v>
      </c>
      <c r="G218" s="92">
        <v>0</v>
      </c>
      <c r="H218" s="125"/>
      <c r="I218" s="125"/>
      <c r="J218" s="179"/>
    </row>
    <row r="219" spans="2:10" ht="20.399999999999999" customHeight="1" x14ac:dyDescent="0.3">
      <c r="B219" s="90">
        <v>12</v>
      </c>
      <c r="C219" s="91" t="s">
        <v>56</v>
      </c>
      <c r="D219" s="92">
        <v>35</v>
      </c>
      <c r="E219" s="92">
        <v>3</v>
      </c>
      <c r="F219" s="92">
        <f t="shared" si="3"/>
        <v>38</v>
      </c>
      <c r="G219" s="92">
        <v>2</v>
      </c>
      <c r="H219" s="125"/>
      <c r="I219" s="125"/>
      <c r="J219" s="179"/>
    </row>
    <row r="220" spans="2:10" ht="20.399999999999999" customHeight="1" x14ac:dyDescent="0.3">
      <c r="B220" s="90">
        <v>13</v>
      </c>
      <c r="C220" s="91" t="s">
        <v>57</v>
      </c>
      <c r="D220" s="92">
        <v>15</v>
      </c>
      <c r="E220" s="92">
        <v>3</v>
      </c>
      <c r="F220" s="92">
        <f t="shared" si="3"/>
        <v>18</v>
      </c>
      <c r="G220" s="92">
        <v>1</v>
      </c>
      <c r="H220" s="125"/>
      <c r="I220" s="125"/>
      <c r="J220" s="179"/>
    </row>
    <row r="221" spans="2:10" ht="20.399999999999999" customHeight="1" x14ac:dyDescent="0.3">
      <c r="B221" s="90">
        <v>14</v>
      </c>
      <c r="C221" s="91" t="s">
        <v>58</v>
      </c>
      <c r="D221" s="92">
        <v>39</v>
      </c>
      <c r="E221" s="92">
        <v>4</v>
      </c>
      <c r="F221" s="92">
        <f t="shared" si="3"/>
        <v>43</v>
      </c>
      <c r="G221" s="92">
        <v>0</v>
      </c>
      <c r="H221" s="125"/>
      <c r="I221" s="125"/>
      <c r="J221" s="179"/>
    </row>
    <row r="222" spans="2:10" ht="20.399999999999999" customHeight="1" x14ac:dyDescent="0.3">
      <c r="B222" s="90">
        <v>15</v>
      </c>
      <c r="C222" s="91" t="s">
        <v>59</v>
      </c>
      <c r="D222" s="92">
        <v>23</v>
      </c>
      <c r="E222" s="92">
        <v>1</v>
      </c>
      <c r="F222" s="92">
        <f t="shared" si="3"/>
        <v>24</v>
      </c>
      <c r="G222" s="92">
        <v>1</v>
      </c>
      <c r="H222" s="125"/>
      <c r="I222" s="125"/>
      <c r="J222" s="179"/>
    </row>
    <row r="223" spans="2:10" ht="20.399999999999999" customHeight="1" x14ac:dyDescent="0.3">
      <c r="B223" s="90">
        <v>16</v>
      </c>
      <c r="C223" s="91" t="s">
        <v>60</v>
      </c>
      <c r="D223" s="92">
        <v>23</v>
      </c>
      <c r="E223" s="92">
        <v>3</v>
      </c>
      <c r="F223" s="92">
        <f t="shared" si="3"/>
        <v>26</v>
      </c>
      <c r="G223" s="92">
        <v>1</v>
      </c>
      <c r="H223" s="125"/>
      <c r="I223" s="125"/>
      <c r="J223" s="179"/>
    </row>
    <row r="224" spans="2:10" ht="20.399999999999999" customHeight="1" x14ac:dyDescent="0.3">
      <c r="B224" s="90">
        <v>17</v>
      </c>
      <c r="C224" s="91" t="s">
        <v>61</v>
      </c>
      <c r="D224" s="92">
        <v>28</v>
      </c>
      <c r="E224" s="92">
        <v>2</v>
      </c>
      <c r="F224" s="92">
        <f t="shared" si="3"/>
        <v>30</v>
      </c>
      <c r="G224" s="92">
        <v>2</v>
      </c>
      <c r="H224" s="125"/>
      <c r="I224" s="125"/>
      <c r="J224" s="179"/>
    </row>
    <row r="225" spans="2:10" ht="20.399999999999999" customHeight="1" x14ac:dyDescent="0.3">
      <c r="B225" s="90">
        <v>18</v>
      </c>
      <c r="C225" s="91" t="s">
        <v>62</v>
      </c>
      <c r="D225" s="92">
        <v>10</v>
      </c>
      <c r="E225" s="92">
        <v>1</v>
      </c>
      <c r="F225" s="92">
        <f t="shared" si="3"/>
        <v>11</v>
      </c>
      <c r="G225" s="92">
        <v>1</v>
      </c>
      <c r="H225" s="125"/>
      <c r="I225" s="125"/>
      <c r="J225" s="179"/>
    </row>
    <row r="226" spans="2:10" ht="20.399999999999999" customHeight="1" x14ac:dyDescent="0.3">
      <c r="B226" s="90">
        <v>19</v>
      </c>
      <c r="C226" s="91" t="s">
        <v>63</v>
      </c>
      <c r="D226" s="92">
        <v>21</v>
      </c>
      <c r="E226" s="92">
        <v>0</v>
      </c>
      <c r="F226" s="92">
        <f t="shared" si="3"/>
        <v>21</v>
      </c>
      <c r="G226" s="92">
        <v>1</v>
      </c>
      <c r="H226" s="125"/>
      <c r="I226" s="125"/>
      <c r="J226" s="179"/>
    </row>
    <row r="227" spans="2:10" ht="20.399999999999999" customHeight="1" x14ac:dyDescent="0.3">
      <c r="B227" s="90">
        <v>20</v>
      </c>
      <c r="C227" s="91" t="s">
        <v>64</v>
      </c>
      <c r="D227" s="92">
        <v>27</v>
      </c>
      <c r="E227" s="92">
        <v>3</v>
      </c>
      <c r="F227" s="92">
        <f t="shared" si="3"/>
        <v>30</v>
      </c>
      <c r="G227" s="92">
        <v>2</v>
      </c>
      <c r="H227" s="125"/>
      <c r="I227" s="125"/>
      <c r="J227" s="179"/>
    </row>
    <row r="228" spans="2:10" ht="20.399999999999999" customHeight="1" thickBot="1" x14ac:dyDescent="0.35">
      <c r="B228" s="90">
        <v>21</v>
      </c>
      <c r="C228" s="91" t="s">
        <v>65</v>
      </c>
      <c r="D228" s="92">
        <v>35</v>
      </c>
      <c r="E228" s="92">
        <v>4</v>
      </c>
      <c r="F228" s="92">
        <f t="shared" si="3"/>
        <v>39</v>
      </c>
      <c r="G228" s="92">
        <v>2</v>
      </c>
      <c r="H228" s="125"/>
      <c r="I228" s="125"/>
      <c r="J228" s="179"/>
    </row>
    <row r="229" spans="2:10" ht="20.399999999999999" customHeight="1" x14ac:dyDescent="0.3">
      <c r="B229" s="90">
        <v>22</v>
      </c>
      <c r="C229" s="91" t="s">
        <v>66</v>
      </c>
      <c r="D229" s="92">
        <v>35</v>
      </c>
      <c r="E229" s="92">
        <v>2</v>
      </c>
      <c r="F229" s="92">
        <f t="shared" si="3"/>
        <v>37</v>
      </c>
      <c r="G229" s="92">
        <v>0</v>
      </c>
      <c r="H229" s="125"/>
      <c r="I229" s="125"/>
      <c r="J229" s="179"/>
    </row>
    <row r="230" spans="2:10" ht="20.399999999999999" customHeight="1" x14ac:dyDescent="0.3">
      <c r="B230" s="90">
        <v>23</v>
      </c>
      <c r="C230" s="91" t="s">
        <v>67</v>
      </c>
      <c r="D230" s="92">
        <v>30</v>
      </c>
      <c r="E230" s="92">
        <v>4</v>
      </c>
      <c r="F230" s="92">
        <f t="shared" si="3"/>
        <v>34</v>
      </c>
      <c r="G230" s="92">
        <v>2</v>
      </c>
      <c r="H230" s="125"/>
      <c r="I230" s="125"/>
      <c r="J230" s="179"/>
    </row>
    <row r="231" spans="2:10" ht="20.399999999999999" customHeight="1" x14ac:dyDescent="0.3">
      <c r="B231" s="90">
        <v>24</v>
      </c>
      <c r="C231" s="91" t="s">
        <v>68</v>
      </c>
      <c r="D231" s="92">
        <v>26</v>
      </c>
      <c r="E231" s="92">
        <v>4</v>
      </c>
      <c r="F231" s="92">
        <f t="shared" si="3"/>
        <v>30</v>
      </c>
      <c r="G231" s="92">
        <v>1</v>
      </c>
      <c r="H231" s="125"/>
      <c r="I231" s="125"/>
      <c r="J231" s="179"/>
    </row>
    <row r="232" spans="2:10" ht="20.399999999999999" customHeight="1" x14ac:dyDescent="0.3">
      <c r="B232" s="90">
        <v>25</v>
      </c>
      <c r="C232" s="91" t="s">
        <v>69</v>
      </c>
      <c r="D232" s="92">
        <v>28</v>
      </c>
      <c r="E232" s="92">
        <v>0</v>
      </c>
      <c r="F232" s="92">
        <f t="shared" si="3"/>
        <v>28</v>
      </c>
      <c r="G232" s="92">
        <v>2</v>
      </c>
      <c r="H232" s="125"/>
      <c r="I232" s="125"/>
      <c r="J232" s="179"/>
    </row>
    <row r="233" spans="2:10" ht="20.399999999999999" customHeight="1" x14ac:dyDescent="0.3">
      <c r="B233" s="90">
        <v>26</v>
      </c>
      <c r="C233" s="91" t="s">
        <v>70</v>
      </c>
      <c r="D233" s="92">
        <v>26</v>
      </c>
      <c r="E233" s="92">
        <v>3</v>
      </c>
      <c r="F233" s="92">
        <f t="shared" si="3"/>
        <v>29</v>
      </c>
      <c r="G233" s="92">
        <v>2</v>
      </c>
      <c r="H233" s="125"/>
      <c r="I233" s="125"/>
      <c r="J233" s="179"/>
    </row>
    <row r="234" spans="2:10" ht="20.399999999999999" customHeight="1" x14ac:dyDescent="0.3">
      <c r="B234" s="90">
        <v>27</v>
      </c>
      <c r="C234" s="91" t="s">
        <v>71</v>
      </c>
      <c r="D234" s="92">
        <v>22</v>
      </c>
      <c r="E234" s="92">
        <v>1</v>
      </c>
      <c r="F234" s="92">
        <f t="shared" si="3"/>
        <v>23</v>
      </c>
      <c r="G234" s="92">
        <v>1</v>
      </c>
      <c r="H234" s="125"/>
      <c r="I234" s="125"/>
      <c r="J234" s="179"/>
    </row>
    <row r="235" spans="2:10" ht="20.399999999999999" customHeight="1" x14ac:dyDescent="0.3">
      <c r="B235" s="90">
        <v>28</v>
      </c>
      <c r="C235" s="91" t="s">
        <v>72</v>
      </c>
      <c r="D235" s="92">
        <v>26</v>
      </c>
      <c r="E235" s="92">
        <v>2</v>
      </c>
      <c r="F235" s="92">
        <f t="shared" si="3"/>
        <v>28</v>
      </c>
      <c r="G235" s="92">
        <v>1</v>
      </c>
      <c r="H235" s="125"/>
      <c r="I235" s="125"/>
      <c r="J235" s="179"/>
    </row>
    <row r="236" spans="2:10" ht="20.399999999999999" customHeight="1" x14ac:dyDescent="0.3">
      <c r="B236" s="90">
        <v>29</v>
      </c>
      <c r="C236" s="91" t="s">
        <v>73</v>
      </c>
      <c r="D236" s="92">
        <v>32</v>
      </c>
      <c r="E236" s="92">
        <v>4</v>
      </c>
      <c r="F236" s="92">
        <f t="shared" si="3"/>
        <v>36</v>
      </c>
      <c r="G236" s="92">
        <v>2</v>
      </c>
      <c r="H236" s="125"/>
      <c r="I236" s="125"/>
      <c r="J236" s="179"/>
    </row>
    <row r="237" spans="2:10" ht="20.399999999999999" customHeight="1" x14ac:dyDescent="0.3">
      <c r="B237" s="90">
        <v>30</v>
      </c>
      <c r="C237" s="91" t="s">
        <v>74</v>
      </c>
      <c r="D237" s="92">
        <v>19</v>
      </c>
      <c r="E237" s="92">
        <v>3</v>
      </c>
      <c r="F237" s="92">
        <f t="shared" si="3"/>
        <v>22</v>
      </c>
      <c r="G237" s="92">
        <v>0</v>
      </c>
      <c r="H237" s="125"/>
      <c r="I237" s="125"/>
      <c r="J237" s="179"/>
    </row>
    <row r="238" spans="2:10" ht="20.399999999999999" customHeight="1" x14ac:dyDescent="0.3">
      <c r="B238" s="90">
        <v>31</v>
      </c>
      <c r="C238" s="91" t="s">
        <v>75</v>
      </c>
      <c r="D238" s="92">
        <v>26</v>
      </c>
      <c r="E238" s="92">
        <v>4</v>
      </c>
      <c r="F238" s="92">
        <f t="shared" si="3"/>
        <v>30</v>
      </c>
      <c r="G238" s="92">
        <v>0</v>
      </c>
      <c r="H238" s="125"/>
      <c r="I238" s="125"/>
      <c r="J238" s="179"/>
    </row>
    <row r="239" spans="2:10" ht="20.399999999999999" customHeight="1" x14ac:dyDescent="0.3">
      <c r="B239" s="90">
        <v>32</v>
      </c>
      <c r="C239" s="91" t="s">
        <v>76</v>
      </c>
      <c r="D239" s="92">
        <v>27</v>
      </c>
      <c r="E239" s="92">
        <v>1</v>
      </c>
      <c r="F239" s="92">
        <f t="shared" si="3"/>
        <v>28</v>
      </c>
      <c r="G239" s="92">
        <v>2</v>
      </c>
      <c r="H239" s="125"/>
      <c r="I239" s="125"/>
      <c r="J239" s="179"/>
    </row>
    <row r="240" spans="2:10" ht="20.399999999999999" customHeight="1" x14ac:dyDescent="0.3">
      <c r="B240" s="90">
        <v>33</v>
      </c>
      <c r="C240" s="91" t="s">
        <v>77</v>
      </c>
      <c r="D240" s="92">
        <v>26</v>
      </c>
      <c r="E240" s="92">
        <v>3</v>
      </c>
      <c r="F240" s="92">
        <f t="shared" si="3"/>
        <v>29</v>
      </c>
      <c r="G240" s="92">
        <v>0</v>
      </c>
      <c r="H240" s="156"/>
      <c r="I240" s="156"/>
      <c r="J240" s="180"/>
    </row>
    <row r="241" spans="2:10" ht="20.399999999999999" customHeight="1" x14ac:dyDescent="0.3">
      <c r="B241" s="93">
        <v>1</v>
      </c>
      <c r="C241" s="94" t="s">
        <v>78</v>
      </c>
      <c r="D241" s="95">
        <v>33</v>
      </c>
      <c r="E241" s="95">
        <v>0</v>
      </c>
      <c r="F241" s="95">
        <f t="shared" si="3"/>
        <v>33</v>
      </c>
      <c r="G241" s="95">
        <v>0</v>
      </c>
      <c r="H241" s="162">
        <f>SUM(F241:F268)+SUM(G241:G268)</f>
        <v>894</v>
      </c>
      <c r="I241" s="146">
        <v>46372</v>
      </c>
      <c r="J241" s="163" t="s">
        <v>114</v>
      </c>
    </row>
    <row r="242" spans="2:10" ht="20.399999999999999" customHeight="1" x14ac:dyDescent="0.3">
      <c r="B242" s="93">
        <v>2</v>
      </c>
      <c r="C242" s="94" t="s">
        <v>80</v>
      </c>
      <c r="D242" s="95">
        <v>26</v>
      </c>
      <c r="E242" s="95">
        <v>3</v>
      </c>
      <c r="F242" s="95">
        <f t="shared" si="3"/>
        <v>29</v>
      </c>
      <c r="G242" s="95">
        <v>2</v>
      </c>
      <c r="H242" s="114"/>
      <c r="I242" s="114"/>
      <c r="J242" s="164"/>
    </row>
    <row r="243" spans="2:10" ht="20.399999999999999" customHeight="1" x14ac:dyDescent="0.3">
      <c r="B243" s="93">
        <v>3</v>
      </c>
      <c r="C243" s="94" t="s">
        <v>81</v>
      </c>
      <c r="D243" s="95">
        <v>27</v>
      </c>
      <c r="E243" s="95">
        <v>3</v>
      </c>
      <c r="F243" s="95">
        <f t="shared" si="3"/>
        <v>30</v>
      </c>
      <c r="G243" s="95">
        <v>2</v>
      </c>
      <c r="H243" s="114"/>
      <c r="I243" s="114"/>
      <c r="J243" s="164"/>
    </row>
    <row r="244" spans="2:10" ht="20.399999999999999" customHeight="1" x14ac:dyDescent="0.3">
      <c r="B244" s="93">
        <v>4</v>
      </c>
      <c r="C244" s="94" t="s">
        <v>82</v>
      </c>
      <c r="D244" s="95">
        <v>26</v>
      </c>
      <c r="E244" s="95">
        <v>8</v>
      </c>
      <c r="F244" s="95">
        <f t="shared" si="3"/>
        <v>34</v>
      </c>
      <c r="G244" s="95">
        <v>1</v>
      </c>
      <c r="H244" s="114"/>
      <c r="I244" s="114"/>
      <c r="J244" s="164"/>
    </row>
    <row r="245" spans="2:10" ht="20.399999999999999" customHeight="1" x14ac:dyDescent="0.3">
      <c r="B245" s="93">
        <v>5</v>
      </c>
      <c r="C245" s="94" t="s">
        <v>83</v>
      </c>
      <c r="D245" s="95">
        <v>15</v>
      </c>
      <c r="E245" s="95">
        <v>1</v>
      </c>
      <c r="F245" s="95">
        <f t="shared" si="3"/>
        <v>16</v>
      </c>
      <c r="G245" s="95">
        <v>1</v>
      </c>
      <c r="H245" s="114"/>
      <c r="I245" s="114"/>
      <c r="J245" s="164"/>
    </row>
    <row r="246" spans="2:10" ht="20.399999999999999" customHeight="1" x14ac:dyDescent="0.3">
      <c r="B246" s="93">
        <v>6</v>
      </c>
      <c r="C246" s="94" t="s">
        <v>84</v>
      </c>
      <c r="D246" s="95">
        <v>36</v>
      </c>
      <c r="E246" s="95">
        <v>0</v>
      </c>
      <c r="F246" s="95">
        <f t="shared" si="3"/>
        <v>36</v>
      </c>
      <c r="G246" s="95">
        <v>2</v>
      </c>
      <c r="H246" s="114"/>
      <c r="I246" s="114"/>
      <c r="J246" s="164"/>
    </row>
    <row r="247" spans="2:10" ht="20.399999999999999" customHeight="1" x14ac:dyDescent="0.3">
      <c r="B247" s="93">
        <v>7</v>
      </c>
      <c r="C247" s="94" t="s">
        <v>85</v>
      </c>
      <c r="D247" s="95">
        <v>19</v>
      </c>
      <c r="E247" s="95">
        <v>3</v>
      </c>
      <c r="F247" s="95">
        <f t="shared" si="3"/>
        <v>22</v>
      </c>
      <c r="G247" s="95">
        <v>0</v>
      </c>
      <c r="H247" s="114"/>
      <c r="I247" s="114"/>
      <c r="J247" s="164"/>
    </row>
    <row r="248" spans="2:10" ht="20.399999999999999" customHeight="1" x14ac:dyDescent="0.3">
      <c r="B248" s="93">
        <v>8</v>
      </c>
      <c r="C248" s="94" t="s">
        <v>86</v>
      </c>
      <c r="D248" s="95">
        <v>37</v>
      </c>
      <c r="E248" s="95">
        <v>9</v>
      </c>
      <c r="F248" s="95">
        <f t="shared" si="3"/>
        <v>46</v>
      </c>
      <c r="G248" s="95">
        <v>0</v>
      </c>
      <c r="H248" s="114"/>
      <c r="I248" s="114"/>
      <c r="J248" s="164"/>
    </row>
    <row r="249" spans="2:10" ht="20.399999999999999" customHeight="1" x14ac:dyDescent="0.3">
      <c r="B249" s="93">
        <v>9</v>
      </c>
      <c r="C249" s="94" t="s">
        <v>87</v>
      </c>
      <c r="D249" s="95">
        <v>30</v>
      </c>
      <c r="E249" s="95">
        <v>6</v>
      </c>
      <c r="F249" s="95">
        <f t="shared" si="3"/>
        <v>36</v>
      </c>
      <c r="G249" s="95">
        <v>2</v>
      </c>
      <c r="H249" s="114"/>
      <c r="I249" s="114"/>
      <c r="J249" s="164"/>
    </row>
    <row r="250" spans="2:10" ht="20.399999999999999" customHeight="1" x14ac:dyDescent="0.3">
      <c r="B250" s="93">
        <v>10</v>
      </c>
      <c r="C250" s="94" t="s">
        <v>88</v>
      </c>
      <c r="D250" s="95">
        <v>26</v>
      </c>
      <c r="E250" s="95">
        <v>10</v>
      </c>
      <c r="F250" s="95">
        <f t="shared" si="3"/>
        <v>36</v>
      </c>
      <c r="G250" s="95">
        <v>2</v>
      </c>
      <c r="H250" s="114"/>
      <c r="I250" s="114"/>
      <c r="J250" s="164"/>
    </row>
    <row r="251" spans="2:10" ht="20.399999999999999" customHeight="1" thickBot="1" x14ac:dyDescent="0.35">
      <c r="B251" s="93">
        <v>11</v>
      </c>
      <c r="C251" s="94" t="s">
        <v>89</v>
      </c>
      <c r="D251" s="95">
        <v>37</v>
      </c>
      <c r="E251" s="95">
        <v>7</v>
      </c>
      <c r="F251" s="95">
        <f t="shared" si="3"/>
        <v>44</v>
      </c>
      <c r="G251" s="95">
        <v>0</v>
      </c>
      <c r="H251" s="114"/>
      <c r="I251" s="114"/>
      <c r="J251" s="164"/>
    </row>
    <row r="252" spans="2:10" ht="20.399999999999999" customHeight="1" x14ac:dyDescent="0.3">
      <c r="B252" s="93">
        <v>12</v>
      </c>
      <c r="C252" s="94" t="s">
        <v>90</v>
      </c>
      <c r="D252" s="95">
        <v>36</v>
      </c>
      <c r="E252" s="95">
        <v>6</v>
      </c>
      <c r="F252" s="95">
        <f t="shared" si="3"/>
        <v>42</v>
      </c>
      <c r="G252" s="95">
        <v>3</v>
      </c>
      <c r="H252" s="114"/>
      <c r="I252" s="114"/>
      <c r="J252" s="164"/>
    </row>
    <row r="253" spans="2:10" ht="20.399999999999999" customHeight="1" x14ac:dyDescent="0.3">
      <c r="B253" s="93">
        <v>13</v>
      </c>
      <c r="C253" s="94" t="s">
        <v>91</v>
      </c>
      <c r="D253" s="95">
        <v>32</v>
      </c>
      <c r="E253" s="95">
        <v>0</v>
      </c>
      <c r="F253" s="95">
        <f t="shared" si="3"/>
        <v>32</v>
      </c>
      <c r="G253" s="95">
        <v>2</v>
      </c>
      <c r="H253" s="114"/>
      <c r="I253" s="114"/>
      <c r="J253" s="164"/>
    </row>
    <row r="254" spans="2:10" ht="20.399999999999999" customHeight="1" x14ac:dyDescent="0.3">
      <c r="B254" s="93">
        <v>14</v>
      </c>
      <c r="C254" s="94" t="s">
        <v>92</v>
      </c>
      <c r="D254" s="95">
        <v>29</v>
      </c>
      <c r="E254" s="95">
        <v>2</v>
      </c>
      <c r="F254" s="95">
        <f t="shared" si="3"/>
        <v>31</v>
      </c>
      <c r="G254" s="95">
        <v>2</v>
      </c>
      <c r="H254" s="114"/>
      <c r="I254" s="114"/>
      <c r="J254" s="164"/>
    </row>
    <row r="255" spans="2:10" ht="20.399999999999999" customHeight="1" x14ac:dyDescent="0.3">
      <c r="B255" s="93">
        <v>15</v>
      </c>
      <c r="C255" s="94" t="s">
        <v>93</v>
      </c>
      <c r="D255" s="95">
        <v>25</v>
      </c>
      <c r="E255" s="95">
        <v>6</v>
      </c>
      <c r="F255" s="95">
        <f t="shared" si="3"/>
        <v>31</v>
      </c>
      <c r="G255" s="95">
        <v>2</v>
      </c>
      <c r="H255" s="114"/>
      <c r="I255" s="114"/>
      <c r="J255" s="164"/>
    </row>
    <row r="256" spans="2:10" ht="20.399999999999999" customHeight="1" x14ac:dyDescent="0.3">
      <c r="B256" s="93">
        <v>16</v>
      </c>
      <c r="C256" s="94" t="s">
        <v>94</v>
      </c>
      <c r="D256" s="95">
        <v>21</v>
      </c>
      <c r="E256" s="95">
        <v>8</v>
      </c>
      <c r="F256" s="95">
        <f t="shared" si="3"/>
        <v>29</v>
      </c>
      <c r="G256" s="95">
        <v>1</v>
      </c>
      <c r="H256" s="114"/>
      <c r="I256" s="114"/>
      <c r="J256" s="164"/>
    </row>
    <row r="257" spans="2:10" ht="20.399999999999999" customHeight="1" x14ac:dyDescent="0.3">
      <c r="B257" s="93">
        <v>17</v>
      </c>
      <c r="C257" s="94" t="s">
        <v>95</v>
      </c>
      <c r="D257" s="95">
        <v>27</v>
      </c>
      <c r="E257" s="95">
        <v>2</v>
      </c>
      <c r="F257" s="95">
        <f t="shared" si="3"/>
        <v>29</v>
      </c>
      <c r="G257" s="95">
        <v>1</v>
      </c>
      <c r="H257" s="114"/>
      <c r="I257" s="114"/>
      <c r="J257" s="164"/>
    </row>
    <row r="258" spans="2:10" ht="20.399999999999999" customHeight="1" x14ac:dyDescent="0.3">
      <c r="B258" s="93">
        <v>18</v>
      </c>
      <c r="C258" s="94" t="s">
        <v>96</v>
      </c>
      <c r="D258" s="95">
        <v>20</v>
      </c>
      <c r="E258" s="95">
        <v>1</v>
      </c>
      <c r="F258" s="95">
        <f t="shared" si="3"/>
        <v>21</v>
      </c>
      <c r="G258" s="95">
        <v>1</v>
      </c>
      <c r="H258" s="114"/>
      <c r="I258" s="114"/>
      <c r="J258" s="164"/>
    </row>
    <row r="259" spans="2:10" ht="20.399999999999999" customHeight="1" x14ac:dyDescent="0.3">
      <c r="B259" s="93">
        <v>19</v>
      </c>
      <c r="C259" s="94" t="s">
        <v>97</v>
      </c>
      <c r="D259" s="95">
        <v>65</v>
      </c>
      <c r="E259" s="95">
        <v>5</v>
      </c>
      <c r="F259" s="95">
        <f t="shared" si="3"/>
        <v>70</v>
      </c>
      <c r="G259" s="95">
        <v>3</v>
      </c>
      <c r="H259" s="114"/>
      <c r="I259" s="114"/>
      <c r="J259" s="164"/>
    </row>
    <row r="260" spans="2:10" ht="20.399999999999999" customHeight="1" x14ac:dyDescent="0.3">
      <c r="B260" s="93">
        <v>20</v>
      </c>
      <c r="C260" s="94" t="s">
        <v>98</v>
      </c>
      <c r="D260" s="95">
        <v>21</v>
      </c>
      <c r="E260" s="95">
        <v>2</v>
      </c>
      <c r="F260" s="95">
        <f t="shared" ref="F260:F323" si="4">D260+E260</f>
        <v>23</v>
      </c>
      <c r="G260" s="95">
        <v>1</v>
      </c>
      <c r="H260" s="114"/>
      <c r="I260" s="114"/>
      <c r="J260" s="164"/>
    </row>
    <row r="261" spans="2:10" ht="20.399999999999999" customHeight="1" x14ac:dyDescent="0.3">
      <c r="B261" s="93">
        <v>21</v>
      </c>
      <c r="C261" s="94" t="s">
        <v>99</v>
      </c>
      <c r="D261" s="95">
        <v>16</v>
      </c>
      <c r="E261" s="95">
        <v>1</v>
      </c>
      <c r="F261" s="95">
        <f t="shared" si="4"/>
        <v>17</v>
      </c>
      <c r="G261" s="95">
        <v>0</v>
      </c>
      <c r="H261" s="114"/>
      <c r="I261" s="114"/>
      <c r="J261" s="164"/>
    </row>
    <row r="262" spans="2:10" ht="20.399999999999999" customHeight="1" x14ac:dyDescent="0.3">
      <c r="B262" s="93">
        <v>22</v>
      </c>
      <c r="C262" s="94" t="s">
        <v>100</v>
      </c>
      <c r="D262" s="95">
        <v>33</v>
      </c>
      <c r="E262" s="95">
        <v>3</v>
      </c>
      <c r="F262" s="95">
        <f t="shared" si="4"/>
        <v>36</v>
      </c>
      <c r="G262" s="95">
        <v>0</v>
      </c>
      <c r="H262" s="114"/>
      <c r="I262" s="114"/>
      <c r="J262" s="164"/>
    </row>
    <row r="263" spans="2:10" ht="20.399999999999999" customHeight="1" x14ac:dyDescent="0.3">
      <c r="B263" s="93">
        <v>23</v>
      </c>
      <c r="C263" s="94" t="s">
        <v>101</v>
      </c>
      <c r="D263" s="95">
        <v>28</v>
      </c>
      <c r="E263" s="95">
        <v>3</v>
      </c>
      <c r="F263" s="95">
        <f t="shared" si="4"/>
        <v>31</v>
      </c>
      <c r="G263" s="95">
        <v>0</v>
      </c>
      <c r="H263" s="114"/>
      <c r="I263" s="114"/>
      <c r="J263" s="164"/>
    </row>
    <row r="264" spans="2:10" ht="20.399999999999999" customHeight="1" x14ac:dyDescent="0.3">
      <c r="B264" s="93">
        <v>24</v>
      </c>
      <c r="C264" s="94" t="s">
        <v>102</v>
      </c>
      <c r="D264" s="95">
        <v>12</v>
      </c>
      <c r="E264" s="95">
        <v>2</v>
      </c>
      <c r="F264" s="95">
        <f t="shared" si="4"/>
        <v>14</v>
      </c>
      <c r="G264" s="95">
        <v>1</v>
      </c>
      <c r="H264" s="114"/>
      <c r="I264" s="114"/>
      <c r="J264" s="164"/>
    </row>
    <row r="265" spans="2:10" ht="20.399999999999999" customHeight="1" x14ac:dyDescent="0.3">
      <c r="B265" s="93">
        <v>25</v>
      </c>
      <c r="C265" s="94" t="s">
        <v>103</v>
      </c>
      <c r="D265" s="95">
        <v>21</v>
      </c>
      <c r="E265" s="95">
        <v>3</v>
      </c>
      <c r="F265" s="95">
        <f t="shared" si="4"/>
        <v>24</v>
      </c>
      <c r="G265" s="95">
        <v>1</v>
      </c>
      <c r="H265" s="114"/>
      <c r="I265" s="114"/>
      <c r="J265" s="164"/>
    </row>
    <row r="266" spans="2:10" ht="20.399999999999999" customHeight="1" x14ac:dyDescent="0.3">
      <c r="B266" s="93">
        <v>26</v>
      </c>
      <c r="C266" s="94" t="s">
        <v>104</v>
      </c>
      <c r="D266" s="95">
        <v>3</v>
      </c>
      <c r="E266" s="95"/>
      <c r="F266" s="95">
        <f t="shared" si="4"/>
        <v>3</v>
      </c>
      <c r="G266" s="95">
        <v>1</v>
      </c>
      <c r="H266" s="114"/>
      <c r="I266" s="114"/>
      <c r="J266" s="164"/>
    </row>
    <row r="267" spans="2:10" ht="20.399999999999999" customHeight="1" x14ac:dyDescent="0.3">
      <c r="B267" s="93">
        <v>27</v>
      </c>
      <c r="C267" s="94" t="s">
        <v>106</v>
      </c>
      <c r="D267" s="95">
        <v>28</v>
      </c>
      <c r="E267" s="95">
        <v>0</v>
      </c>
      <c r="F267" s="95">
        <f t="shared" si="4"/>
        <v>28</v>
      </c>
      <c r="G267" s="95">
        <v>2</v>
      </c>
      <c r="H267" s="114"/>
      <c r="I267" s="114"/>
      <c r="J267" s="164"/>
    </row>
    <row r="268" spans="2:10" ht="20.399999999999999" customHeight="1" x14ac:dyDescent="0.3">
      <c r="B268" s="93">
        <v>28</v>
      </c>
      <c r="C268" s="94" t="s">
        <v>107</v>
      </c>
      <c r="D268" s="95">
        <v>36</v>
      </c>
      <c r="E268" s="95">
        <v>0</v>
      </c>
      <c r="F268" s="95">
        <f t="shared" si="4"/>
        <v>36</v>
      </c>
      <c r="G268" s="95">
        <v>2</v>
      </c>
      <c r="H268" s="147"/>
      <c r="I268" s="147"/>
      <c r="J268" s="165"/>
    </row>
    <row r="269" spans="2:10" ht="20.399999999999999" customHeight="1" x14ac:dyDescent="0.3">
      <c r="B269" s="69">
        <v>1</v>
      </c>
      <c r="C269" s="70" t="s">
        <v>78</v>
      </c>
      <c r="D269" s="71">
        <v>33</v>
      </c>
      <c r="E269" s="71">
        <v>0</v>
      </c>
      <c r="F269" s="71">
        <f t="shared" si="4"/>
        <v>33</v>
      </c>
      <c r="G269" s="71">
        <v>0</v>
      </c>
      <c r="H269" s="143">
        <f>SUM(F269:F296)+SUM(G269:G296)</f>
        <v>894</v>
      </c>
      <c r="I269" s="191">
        <v>46373</v>
      </c>
      <c r="J269" s="188" t="s">
        <v>115</v>
      </c>
    </row>
    <row r="270" spans="2:10" ht="20.399999999999999" customHeight="1" x14ac:dyDescent="0.3">
      <c r="B270" s="69">
        <v>2</v>
      </c>
      <c r="C270" s="70" t="s">
        <v>80</v>
      </c>
      <c r="D270" s="71">
        <v>26</v>
      </c>
      <c r="E270" s="71">
        <v>3</v>
      </c>
      <c r="F270" s="71">
        <f t="shared" si="4"/>
        <v>29</v>
      </c>
      <c r="G270" s="71">
        <v>2</v>
      </c>
      <c r="H270" s="144"/>
      <c r="I270" s="144"/>
      <c r="J270" s="189"/>
    </row>
    <row r="271" spans="2:10" ht="20.399999999999999" customHeight="1" x14ac:dyDescent="0.3">
      <c r="B271" s="69">
        <v>3</v>
      </c>
      <c r="C271" s="70" t="s">
        <v>81</v>
      </c>
      <c r="D271" s="71">
        <v>27</v>
      </c>
      <c r="E271" s="71">
        <v>3</v>
      </c>
      <c r="F271" s="71">
        <f t="shared" si="4"/>
        <v>30</v>
      </c>
      <c r="G271" s="71">
        <v>2</v>
      </c>
      <c r="H271" s="144"/>
      <c r="I271" s="144"/>
      <c r="J271" s="189"/>
    </row>
    <row r="272" spans="2:10" ht="20.399999999999999" customHeight="1" x14ac:dyDescent="0.3">
      <c r="B272" s="69">
        <v>4</v>
      </c>
      <c r="C272" s="70" t="s">
        <v>82</v>
      </c>
      <c r="D272" s="71">
        <v>26</v>
      </c>
      <c r="E272" s="71">
        <v>8</v>
      </c>
      <c r="F272" s="71">
        <f t="shared" si="4"/>
        <v>34</v>
      </c>
      <c r="G272" s="71">
        <v>1</v>
      </c>
      <c r="H272" s="144"/>
      <c r="I272" s="144"/>
      <c r="J272" s="189"/>
    </row>
    <row r="273" spans="2:10" ht="20.399999999999999" customHeight="1" x14ac:dyDescent="0.3">
      <c r="B273" s="69">
        <v>5</v>
      </c>
      <c r="C273" s="70" t="s">
        <v>83</v>
      </c>
      <c r="D273" s="71">
        <v>15</v>
      </c>
      <c r="E273" s="71">
        <v>1</v>
      </c>
      <c r="F273" s="71">
        <f t="shared" si="4"/>
        <v>16</v>
      </c>
      <c r="G273" s="71">
        <v>1</v>
      </c>
      <c r="H273" s="144"/>
      <c r="I273" s="144"/>
      <c r="J273" s="189"/>
    </row>
    <row r="274" spans="2:10" ht="20.399999999999999" customHeight="1" thickBot="1" x14ac:dyDescent="0.35">
      <c r="B274" s="69">
        <v>6</v>
      </c>
      <c r="C274" s="70" t="s">
        <v>84</v>
      </c>
      <c r="D274" s="71">
        <v>36</v>
      </c>
      <c r="E274" s="71">
        <v>0</v>
      </c>
      <c r="F274" s="71">
        <f t="shared" si="4"/>
        <v>36</v>
      </c>
      <c r="G274" s="71">
        <v>2</v>
      </c>
      <c r="H274" s="144"/>
      <c r="I274" s="144"/>
      <c r="J274" s="189"/>
    </row>
    <row r="275" spans="2:10" x14ac:dyDescent="0.3">
      <c r="B275" s="69">
        <v>7</v>
      </c>
      <c r="C275" s="70" t="s">
        <v>85</v>
      </c>
      <c r="D275" s="71">
        <v>19</v>
      </c>
      <c r="E275" s="71">
        <v>3</v>
      </c>
      <c r="F275" s="71">
        <f t="shared" si="4"/>
        <v>22</v>
      </c>
      <c r="G275" s="71">
        <v>0</v>
      </c>
      <c r="H275" s="144"/>
      <c r="I275" s="144"/>
      <c r="J275" s="189"/>
    </row>
    <row r="276" spans="2:10" x14ac:dyDescent="0.3">
      <c r="B276" s="69">
        <v>8</v>
      </c>
      <c r="C276" s="70" t="s">
        <v>86</v>
      </c>
      <c r="D276" s="71">
        <v>37</v>
      </c>
      <c r="E276" s="71">
        <v>9</v>
      </c>
      <c r="F276" s="71">
        <f t="shared" si="4"/>
        <v>46</v>
      </c>
      <c r="G276" s="71">
        <v>0</v>
      </c>
      <c r="H276" s="144"/>
      <c r="I276" s="144"/>
      <c r="J276" s="189"/>
    </row>
    <row r="277" spans="2:10" ht="26.4" x14ac:dyDescent="0.3">
      <c r="B277" s="69">
        <v>9</v>
      </c>
      <c r="C277" s="70" t="s">
        <v>87</v>
      </c>
      <c r="D277" s="71">
        <v>30</v>
      </c>
      <c r="E277" s="71">
        <v>6</v>
      </c>
      <c r="F277" s="71">
        <f t="shared" si="4"/>
        <v>36</v>
      </c>
      <c r="G277" s="71">
        <v>2</v>
      </c>
      <c r="H277" s="144"/>
      <c r="I277" s="144"/>
      <c r="J277" s="189"/>
    </row>
    <row r="278" spans="2:10" ht="26.4" x14ac:dyDescent="0.3">
      <c r="B278" s="69">
        <v>10</v>
      </c>
      <c r="C278" s="70" t="s">
        <v>88</v>
      </c>
      <c r="D278" s="71">
        <v>26</v>
      </c>
      <c r="E278" s="71">
        <v>10</v>
      </c>
      <c r="F278" s="71">
        <f t="shared" si="4"/>
        <v>36</v>
      </c>
      <c r="G278" s="71">
        <v>2</v>
      </c>
      <c r="H278" s="144"/>
      <c r="I278" s="144"/>
      <c r="J278" s="189"/>
    </row>
    <row r="279" spans="2:10" x14ac:dyDescent="0.3">
      <c r="B279" s="69">
        <v>11</v>
      </c>
      <c r="C279" s="70" t="s">
        <v>89</v>
      </c>
      <c r="D279" s="71">
        <v>37</v>
      </c>
      <c r="E279" s="71">
        <v>7</v>
      </c>
      <c r="F279" s="71">
        <f t="shared" si="4"/>
        <v>44</v>
      </c>
      <c r="G279" s="71">
        <v>0</v>
      </c>
      <c r="H279" s="144"/>
      <c r="I279" s="144"/>
      <c r="J279" s="189"/>
    </row>
    <row r="280" spans="2:10" ht="26.4" x14ac:dyDescent="0.3">
      <c r="B280" s="69">
        <v>12</v>
      </c>
      <c r="C280" s="70" t="s">
        <v>90</v>
      </c>
      <c r="D280" s="71">
        <v>36</v>
      </c>
      <c r="E280" s="71">
        <v>6</v>
      </c>
      <c r="F280" s="71">
        <f t="shared" si="4"/>
        <v>42</v>
      </c>
      <c r="G280" s="71">
        <v>3</v>
      </c>
      <c r="H280" s="144"/>
      <c r="I280" s="144"/>
      <c r="J280" s="189"/>
    </row>
    <row r="281" spans="2:10" x14ac:dyDescent="0.3">
      <c r="B281" s="69">
        <v>13</v>
      </c>
      <c r="C281" s="70" t="s">
        <v>91</v>
      </c>
      <c r="D281" s="71">
        <v>32</v>
      </c>
      <c r="E281" s="71">
        <v>0</v>
      </c>
      <c r="F281" s="71">
        <f t="shared" si="4"/>
        <v>32</v>
      </c>
      <c r="G281" s="71">
        <v>2</v>
      </c>
      <c r="H281" s="144"/>
      <c r="I281" s="144"/>
      <c r="J281" s="189"/>
    </row>
    <row r="282" spans="2:10" x14ac:dyDescent="0.3">
      <c r="B282" s="69">
        <v>14</v>
      </c>
      <c r="C282" s="70" t="s">
        <v>92</v>
      </c>
      <c r="D282" s="71">
        <v>29</v>
      </c>
      <c r="E282" s="71">
        <v>2</v>
      </c>
      <c r="F282" s="71">
        <f t="shared" si="4"/>
        <v>31</v>
      </c>
      <c r="G282" s="71">
        <v>2</v>
      </c>
      <c r="H282" s="144"/>
      <c r="I282" s="144"/>
      <c r="J282" s="189"/>
    </row>
    <row r="283" spans="2:10" x14ac:dyDescent="0.3">
      <c r="B283" s="69">
        <v>15</v>
      </c>
      <c r="C283" s="70" t="s">
        <v>93</v>
      </c>
      <c r="D283" s="71">
        <v>25</v>
      </c>
      <c r="E283" s="71">
        <v>6</v>
      </c>
      <c r="F283" s="71">
        <f t="shared" si="4"/>
        <v>31</v>
      </c>
      <c r="G283" s="71">
        <v>2</v>
      </c>
      <c r="H283" s="144"/>
      <c r="I283" s="144"/>
      <c r="J283" s="189"/>
    </row>
    <row r="284" spans="2:10" ht="26.4" x14ac:dyDescent="0.3">
      <c r="B284" s="69">
        <v>16</v>
      </c>
      <c r="C284" s="70" t="s">
        <v>94</v>
      </c>
      <c r="D284" s="71">
        <v>21</v>
      </c>
      <c r="E284" s="71">
        <v>8</v>
      </c>
      <c r="F284" s="71">
        <f t="shared" si="4"/>
        <v>29</v>
      </c>
      <c r="G284" s="71">
        <v>1</v>
      </c>
      <c r="H284" s="144"/>
      <c r="I284" s="144"/>
      <c r="J284" s="189"/>
    </row>
    <row r="285" spans="2:10" ht="26.4" x14ac:dyDescent="0.3">
      <c r="B285" s="69">
        <v>17</v>
      </c>
      <c r="C285" s="70" t="s">
        <v>95</v>
      </c>
      <c r="D285" s="71">
        <v>27</v>
      </c>
      <c r="E285" s="71">
        <v>2</v>
      </c>
      <c r="F285" s="71">
        <f t="shared" si="4"/>
        <v>29</v>
      </c>
      <c r="G285" s="71">
        <v>1</v>
      </c>
      <c r="H285" s="144"/>
      <c r="I285" s="144"/>
      <c r="J285" s="189"/>
    </row>
    <row r="286" spans="2:10" x14ac:dyDescent="0.3">
      <c r="B286" s="69">
        <v>18</v>
      </c>
      <c r="C286" s="70" t="s">
        <v>96</v>
      </c>
      <c r="D286" s="71">
        <v>20</v>
      </c>
      <c r="E286" s="71">
        <v>1</v>
      </c>
      <c r="F286" s="71">
        <f t="shared" si="4"/>
        <v>21</v>
      </c>
      <c r="G286" s="71">
        <v>1</v>
      </c>
      <c r="H286" s="144"/>
      <c r="I286" s="144"/>
      <c r="J286" s="189"/>
    </row>
    <row r="287" spans="2:10" ht="26.4" x14ac:dyDescent="0.3">
      <c r="B287" s="69">
        <v>19</v>
      </c>
      <c r="C287" s="70" t="s">
        <v>97</v>
      </c>
      <c r="D287" s="71">
        <v>65</v>
      </c>
      <c r="E287" s="71">
        <v>5</v>
      </c>
      <c r="F287" s="71">
        <f t="shared" si="4"/>
        <v>70</v>
      </c>
      <c r="G287" s="71">
        <v>3</v>
      </c>
      <c r="H287" s="144"/>
      <c r="I287" s="144"/>
      <c r="J287" s="189"/>
    </row>
    <row r="288" spans="2:10" x14ac:dyDescent="0.3">
      <c r="B288" s="69">
        <v>20</v>
      </c>
      <c r="C288" s="70" t="s">
        <v>98</v>
      </c>
      <c r="D288" s="71">
        <v>21</v>
      </c>
      <c r="E288" s="71">
        <v>2</v>
      </c>
      <c r="F288" s="71">
        <f t="shared" si="4"/>
        <v>23</v>
      </c>
      <c r="G288" s="71">
        <v>1</v>
      </c>
      <c r="H288" s="144"/>
      <c r="I288" s="144"/>
      <c r="J288" s="189"/>
    </row>
    <row r="289" spans="2:10" ht="26.4" x14ac:dyDescent="0.3">
      <c r="B289" s="69">
        <v>21</v>
      </c>
      <c r="C289" s="70" t="s">
        <v>99</v>
      </c>
      <c r="D289" s="71">
        <v>16</v>
      </c>
      <c r="E289" s="71">
        <v>1</v>
      </c>
      <c r="F289" s="71">
        <f t="shared" si="4"/>
        <v>17</v>
      </c>
      <c r="G289" s="71">
        <v>0</v>
      </c>
      <c r="H289" s="144"/>
      <c r="I289" s="144"/>
      <c r="J289" s="189"/>
    </row>
    <row r="290" spans="2:10" x14ac:dyDescent="0.3">
      <c r="B290" s="69">
        <v>22</v>
      </c>
      <c r="C290" s="70" t="s">
        <v>100</v>
      </c>
      <c r="D290" s="71">
        <v>33</v>
      </c>
      <c r="E290" s="71">
        <v>3</v>
      </c>
      <c r="F290" s="71">
        <f t="shared" si="4"/>
        <v>36</v>
      </c>
      <c r="G290" s="71">
        <v>0</v>
      </c>
      <c r="H290" s="144"/>
      <c r="I290" s="144"/>
      <c r="J290" s="189"/>
    </row>
    <row r="291" spans="2:10" ht="26.4" x14ac:dyDescent="0.3">
      <c r="B291" s="69">
        <v>23</v>
      </c>
      <c r="C291" s="70" t="s">
        <v>101</v>
      </c>
      <c r="D291" s="71">
        <v>28</v>
      </c>
      <c r="E291" s="71">
        <v>3</v>
      </c>
      <c r="F291" s="71">
        <f t="shared" si="4"/>
        <v>31</v>
      </c>
      <c r="G291" s="71">
        <v>0</v>
      </c>
      <c r="H291" s="144"/>
      <c r="I291" s="144"/>
      <c r="J291" s="189"/>
    </row>
    <row r="292" spans="2:10" x14ac:dyDescent="0.3">
      <c r="B292" s="69">
        <v>24</v>
      </c>
      <c r="C292" s="70" t="s">
        <v>102</v>
      </c>
      <c r="D292" s="71">
        <v>12</v>
      </c>
      <c r="E292" s="71">
        <v>2</v>
      </c>
      <c r="F292" s="71">
        <f t="shared" si="4"/>
        <v>14</v>
      </c>
      <c r="G292" s="71">
        <v>1</v>
      </c>
      <c r="H292" s="144"/>
      <c r="I292" s="144"/>
      <c r="J292" s="189"/>
    </row>
    <row r="293" spans="2:10" x14ac:dyDescent="0.3">
      <c r="B293" s="69">
        <v>25</v>
      </c>
      <c r="C293" s="70" t="s">
        <v>103</v>
      </c>
      <c r="D293" s="71">
        <v>21</v>
      </c>
      <c r="E293" s="71">
        <v>3</v>
      </c>
      <c r="F293" s="71">
        <f t="shared" si="4"/>
        <v>24</v>
      </c>
      <c r="G293" s="71">
        <v>1</v>
      </c>
      <c r="H293" s="144"/>
      <c r="I293" s="144"/>
      <c r="J293" s="189"/>
    </row>
    <row r="294" spans="2:10" x14ac:dyDescent="0.3">
      <c r="B294" s="69">
        <v>26</v>
      </c>
      <c r="C294" s="70" t="s">
        <v>104</v>
      </c>
      <c r="D294" s="71">
        <v>3</v>
      </c>
      <c r="E294" s="71"/>
      <c r="F294" s="71">
        <f t="shared" si="4"/>
        <v>3</v>
      </c>
      <c r="G294" s="71">
        <v>1</v>
      </c>
      <c r="H294" s="144"/>
      <c r="I294" s="144"/>
      <c r="J294" s="189"/>
    </row>
    <row r="295" spans="2:10" x14ac:dyDescent="0.3">
      <c r="B295" s="69">
        <v>27</v>
      </c>
      <c r="C295" s="70" t="s">
        <v>106</v>
      </c>
      <c r="D295" s="71">
        <v>28</v>
      </c>
      <c r="E295" s="71">
        <v>0</v>
      </c>
      <c r="F295" s="71">
        <f t="shared" si="4"/>
        <v>28</v>
      </c>
      <c r="G295" s="71">
        <v>2</v>
      </c>
      <c r="H295" s="144"/>
      <c r="I295" s="144"/>
      <c r="J295" s="189"/>
    </row>
    <row r="296" spans="2:10" x14ac:dyDescent="0.3">
      <c r="B296" s="69">
        <v>28</v>
      </c>
      <c r="C296" s="70" t="s">
        <v>107</v>
      </c>
      <c r="D296" s="71">
        <v>36</v>
      </c>
      <c r="E296" s="71">
        <v>0</v>
      </c>
      <c r="F296" s="71">
        <f t="shared" si="4"/>
        <v>36</v>
      </c>
      <c r="G296" s="71">
        <v>2</v>
      </c>
      <c r="H296" s="145"/>
      <c r="I296" s="145"/>
      <c r="J296" s="190"/>
    </row>
    <row r="297" spans="2:10" x14ac:dyDescent="0.3">
      <c r="B297" s="75">
        <v>1</v>
      </c>
      <c r="C297" s="76" t="s">
        <v>78</v>
      </c>
      <c r="D297" s="77">
        <v>33</v>
      </c>
      <c r="E297" s="77">
        <v>0</v>
      </c>
      <c r="F297" s="77">
        <f t="shared" si="4"/>
        <v>33</v>
      </c>
      <c r="G297" s="77">
        <v>0</v>
      </c>
      <c r="H297" s="166">
        <f>SUM(F297:F324)+SUM(G297:G324)</f>
        <v>894</v>
      </c>
      <c r="I297" s="173">
        <v>46375</v>
      </c>
      <c r="J297" s="140" t="s">
        <v>112</v>
      </c>
    </row>
    <row r="298" spans="2:10" x14ac:dyDescent="0.3">
      <c r="B298" s="75">
        <v>2</v>
      </c>
      <c r="C298" s="76" t="s">
        <v>80</v>
      </c>
      <c r="D298" s="77">
        <v>26</v>
      </c>
      <c r="E298" s="77">
        <v>3</v>
      </c>
      <c r="F298" s="77">
        <f t="shared" si="4"/>
        <v>29</v>
      </c>
      <c r="G298" s="77">
        <v>2</v>
      </c>
      <c r="H298" s="167"/>
      <c r="I298" s="167"/>
      <c r="J298" s="141"/>
    </row>
    <row r="299" spans="2:10" x14ac:dyDescent="0.3">
      <c r="B299" s="75">
        <v>3</v>
      </c>
      <c r="C299" s="76" t="s">
        <v>81</v>
      </c>
      <c r="D299" s="77">
        <v>27</v>
      </c>
      <c r="E299" s="77">
        <v>3</v>
      </c>
      <c r="F299" s="77">
        <f t="shared" si="4"/>
        <v>30</v>
      </c>
      <c r="G299" s="77">
        <v>2</v>
      </c>
      <c r="H299" s="167"/>
      <c r="I299" s="167"/>
      <c r="J299" s="141"/>
    </row>
    <row r="300" spans="2:10" x14ac:dyDescent="0.3">
      <c r="B300" s="75">
        <v>4</v>
      </c>
      <c r="C300" s="76" t="s">
        <v>82</v>
      </c>
      <c r="D300" s="77">
        <v>26</v>
      </c>
      <c r="E300" s="77">
        <v>8</v>
      </c>
      <c r="F300" s="77">
        <f t="shared" si="4"/>
        <v>34</v>
      </c>
      <c r="G300" s="77">
        <v>1</v>
      </c>
      <c r="H300" s="167"/>
      <c r="I300" s="167"/>
      <c r="J300" s="141"/>
    </row>
    <row r="301" spans="2:10" x14ac:dyDescent="0.3">
      <c r="B301" s="75">
        <v>5</v>
      </c>
      <c r="C301" s="76" t="s">
        <v>83</v>
      </c>
      <c r="D301" s="77">
        <v>15</v>
      </c>
      <c r="E301" s="77">
        <v>1</v>
      </c>
      <c r="F301" s="77">
        <f t="shared" si="4"/>
        <v>16</v>
      </c>
      <c r="G301" s="77">
        <v>1</v>
      </c>
      <c r="H301" s="167"/>
      <c r="I301" s="167"/>
      <c r="J301" s="141"/>
    </row>
    <row r="302" spans="2:10" x14ac:dyDescent="0.3">
      <c r="B302" s="75">
        <v>6</v>
      </c>
      <c r="C302" s="76" t="s">
        <v>84</v>
      </c>
      <c r="D302" s="77">
        <v>36</v>
      </c>
      <c r="E302" s="77">
        <v>0</v>
      </c>
      <c r="F302" s="77">
        <f t="shared" si="4"/>
        <v>36</v>
      </c>
      <c r="G302" s="77">
        <v>2</v>
      </c>
      <c r="H302" s="167"/>
      <c r="I302" s="167"/>
      <c r="J302" s="141"/>
    </row>
    <row r="303" spans="2:10" x14ac:dyDescent="0.3">
      <c r="B303" s="75">
        <v>7</v>
      </c>
      <c r="C303" s="76" t="s">
        <v>85</v>
      </c>
      <c r="D303" s="77">
        <v>19</v>
      </c>
      <c r="E303" s="77">
        <v>3</v>
      </c>
      <c r="F303" s="77">
        <f t="shared" si="4"/>
        <v>22</v>
      </c>
      <c r="G303" s="77">
        <v>0</v>
      </c>
      <c r="H303" s="167"/>
      <c r="I303" s="167"/>
      <c r="J303" s="141"/>
    </row>
    <row r="304" spans="2:10" x14ac:dyDescent="0.3">
      <c r="B304" s="75">
        <v>8</v>
      </c>
      <c r="C304" s="76" t="s">
        <v>86</v>
      </c>
      <c r="D304" s="77">
        <v>37</v>
      </c>
      <c r="E304" s="77">
        <v>9</v>
      </c>
      <c r="F304" s="77">
        <f t="shared" si="4"/>
        <v>46</v>
      </c>
      <c r="G304" s="77">
        <v>0</v>
      </c>
      <c r="H304" s="167"/>
      <c r="I304" s="167"/>
      <c r="J304" s="141"/>
    </row>
    <row r="305" spans="2:10" ht="26.4" x14ac:dyDescent="0.3">
      <c r="B305" s="75">
        <v>9</v>
      </c>
      <c r="C305" s="76" t="s">
        <v>87</v>
      </c>
      <c r="D305" s="77">
        <v>30</v>
      </c>
      <c r="E305" s="77">
        <v>6</v>
      </c>
      <c r="F305" s="77">
        <f t="shared" si="4"/>
        <v>36</v>
      </c>
      <c r="G305" s="77">
        <v>2</v>
      </c>
      <c r="H305" s="167"/>
      <c r="I305" s="167"/>
      <c r="J305" s="141"/>
    </row>
    <row r="306" spans="2:10" ht="26.4" x14ac:dyDescent="0.3">
      <c r="B306" s="75">
        <v>10</v>
      </c>
      <c r="C306" s="76" t="s">
        <v>88</v>
      </c>
      <c r="D306" s="77">
        <v>26</v>
      </c>
      <c r="E306" s="77">
        <v>10</v>
      </c>
      <c r="F306" s="77">
        <f t="shared" si="4"/>
        <v>36</v>
      </c>
      <c r="G306" s="77">
        <v>2</v>
      </c>
      <c r="H306" s="167"/>
      <c r="I306" s="167"/>
      <c r="J306" s="141"/>
    </row>
    <row r="307" spans="2:10" x14ac:dyDescent="0.3">
      <c r="B307" s="75">
        <v>11</v>
      </c>
      <c r="C307" s="76" t="s">
        <v>89</v>
      </c>
      <c r="D307" s="77">
        <v>37</v>
      </c>
      <c r="E307" s="77">
        <v>7</v>
      </c>
      <c r="F307" s="77">
        <f t="shared" si="4"/>
        <v>44</v>
      </c>
      <c r="G307" s="77">
        <v>0</v>
      </c>
      <c r="H307" s="167"/>
      <c r="I307" s="167"/>
      <c r="J307" s="141"/>
    </row>
    <row r="308" spans="2:10" ht="26.4" x14ac:dyDescent="0.3">
      <c r="B308" s="75">
        <v>12</v>
      </c>
      <c r="C308" s="76" t="s">
        <v>90</v>
      </c>
      <c r="D308" s="77">
        <v>36</v>
      </c>
      <c r="E308" s="77">
        <v>6</v>
      </c>
      <c r="F308" s="77">
        <f t="shared" si="4"/>
        <v>42</v>
      </c>
      <c r="G308" s="77">
        <v>3</v>
      </c>
      <c r="H308" s="167"/>
      <c r="I308" s="167"/>
      <c r="J308" s="141"/>
    </row>
    <row r="309" spans="2:10" x14ac:dyDescent="0.3">
      <c r="B309" s="75">
        <v>13</v>
      </c>
      <c r="C309" s="76" t="s">
        <v>91</v>
      </c>
      <c r="D309" s="77">
        <v>32</v>
      </c>
      <c r="E309" s="77">
        <v>0</v>
      </c>
      <c r="F309" s="77">
        <f t="shared" si="4"/>
        <v>32</v>
      </c>
      <c r="G309" s="77">
        <v>2</v>
      </c>
      <c r="H309" s="167"/>
      <c r="I309" s="167"/>
      <c r="J309" s="141"/>
    </row>
    <row r="310" spans="2:10" x14ac:dyDescent="0.3">
      <c r="B310" s="75">
        <v>14</v>
      </c>
      <c r="C310" s="76" t="s">
        <v>92</v>
      </c>
      <c r="D310" s="77">
        <v>29</v>
      </c>
      <c r="E310" s="77">
        <v>2</v>
      </c>
      <c r="F310" s="77">
        <f t="shared" si="4"/>
        <v>31</v>
      </c>
      <c r="G310" s="77">
        <v>2</v>
      </c>
      <c r="H310" s="167"/>
      <c r="I310" s="167"/>
      <c r="J310" s="141"/>
    </row>
    <row r="311" spans="2:10" x14ac:dyDescent="0.3">
      <c r="B311" s="75">
        <v>15</v>
      </c>
      <c r="C311" s="76" t="s">
        <v>93</v>
      </c>
      <c r="D311" s="77">
        <v>25</v>
      </c>
      <c r="E311" s="77">
        <v>6</v>
      </c>
      <c r="F311" s="77">
        <f t="shared" si="4"/>
        <v>31</v>
      </c>
      <c r="G311" s="77">
        <v>2</v>
      </c>
      <c r="H311" s="167"/>
      <c r="I311" s="167"/>
      <c r="J311" s="141"/>
    </row>
    <row r="312" spans="2:10" ht="26.4" x14ac:dyDescent="0.3">
      <c r="B312" s="75">
        <v>16</v>
      </c>
      <c r="C312" s="76" t="s">
        <v>94</v>
      </c>
      <c r="D312" s="77">
        <v>21</v>
      </c>
      <c r="E312" s="77">
        <v>8</v>
      </c>
      <c r="F312" s="77">
        <f t="shared" si="4"/>
        <v>29</v>
      </c>
      <c r="G312" s="77">
        <v>1</v>
      </c>
      <c r="H312" s="167"/>
      <c r="I312" s="167"/>
      <c r="J312" s="141"/>
    </row>
    <row r="313" spans="2:10" ht="26.4" x14ac:dyDescent="0.3">
      <c r="B313" s="75">
        <v>17</v>
      </c>
      <c r="C313" s="76" t="s">
        <v>95</v>
      </c>
      <c r="D313" s="77">
        <v>27</v>
      </c>
      <c r="E313" s="77">
        <v>2</v>
      </c>
      <c r="F313" s="77">
        <f t="shared" si="4"/>
        <v>29</v>
      </c>
      <c r="G313" s="77">
        <v>1</v>
      </c>
      <c r="H313" s="167"/>
      <c r="I313" s="167"/>
      <c r="J313" s="141"/>
    </row>
    <row r="314" spans="2:10" x14ac:dyDescent="0.3">
      <c r="B314" s="75">
        <v>18</v>
      </c>
      <c r="C314" s="76" t="s">
        <v>96</v>
      </c>
      <c r="D314" s="77">
        <v>20</v>
      </c>
      <c r="E314" s="77">
        <v>1</v>
      </c>
      <c r="F314" s="77">
        <f t="shared" si="4"/>
        <v>21</v>
      </c>
      <c r="G314" s="77">
        <v>1</v>
      </c>
      <c r="H314" s="167"/>
      <c r="I314" s="167"/>
      <c r="J314" s="141"/>
    </row>
    <row r="315" spans="2:10" ht="26.4" x14ac:dyDescent="0.3">
      <c r="B315" s="75">
        <v>19</v>
      </c>
      <c r="C315" s="76" t="s">
        <v>97</v>
      </c>
      <c r="D315" s="77">
        <v>65</v>
      </c>
      <c r="E315" s="77">
        <v>5</v>
      </c>
      <c r="F315" s="77">
        <f t="shared" si="4"/>
        <v>70</v>
      </c>
      <c r="G315" s="77">
        <v>3</v>
      </c>
      <c r="H315" s="167"/>
      <c r="I315" s="167"/>
      <c r="J315" s="141"/>
    </row>
    <row r="316" spans="2:10" x14ac:dyDescent="0.3">
      <c r="B316" s="75">
        <v>20</v>
      </c>
      <c r="C316" s="76" t="s">
        <v>98</v>
      </c>
      <c r="D316" s="77">
        <v>21</v>
      </c>
      <c r="E316" s="77">
        <v>2</v>
      </c>
      <c r="F316" s="77">
        <f t="shared" si="4"/>
        <v>23</v>
      </c>
      <c r="G316" s="77">
        <v>1</v>
      </c>
      <c r="H316" s="167"/>
      <c r="I316" s="167"/>
      <c r="J316" s="141"/>
    </row>
    <row r="317" spans="2:10" ht="26.4" x14ac:dyDescent="0.3">
      <c r="B317" s="75">
        <v>21</v>
      </c>
      <c r="C317" s="76" t="s">
        <v>99</v>
      </c>
      <c r="D317" s="77">
        <v>16</v>
      </c>
      <c r="E317" s="77">
        <v>1</v>
      </c>
      <c r="F317" s="77">
        <f t="shared" si="4"/>
        <v>17</v>
      </c>
      <c r="G317" s="77">
        <v>0</v>
      </c>
      <c r="H317" s="167"/>
      <c r="I317" s="167"/>
      <c r="J317" s="141"/>
    </row>
    <row r="318" spans="2:10" x14ac:dyDescent="0.3">
      <c r="B318" s="75">
        <v>22</v>
      </c>
      <c r="C318" s="76" t="s">
        <v>100</v>
      </c>
      <c r="D318" s="77">
        <v>33</v>
      </c>
      <c r="E318" s="77">
        <v>3</v>
      </c>
      <c r="F318" s="77">
        <f t="shared" si="4"/>
        <v>36</v>
      </c>
      <c r="G318" s="77">
        <v>0</v>
      </c>
      <c r="H318" s="167"/>
      <c r="I318" s="167"/>
      <c r="J318" s="141"/>
    </row>
    <row r="319" spans="2:10" ht="26.4" x14ac:dyDescent="0.3">
      <c r="B319" s="75">
        <v>23</v>
      </c>
      <c r="C319" s="76" t="s">
        <v>101</v>
      </c>
      <c r="D319" s="77">
        <v>28</v>
      </c>
      <c r="E319" s="77">
        <v>3</v>
      </c>
      <c r="F319" s="77">
        <f t="shared" si="4"/>
        <v>31</v>
      </c>
      <c r="G319" s="77">
        <v>0</v>
      </c>
      <c r="H319" s="167"/>
      <c r="I319" s="167"/>
      <c r="J319" s="141"/>
    </row>
    <row r="320" spans="2:10" x14ac:dyDescent="0.3">
      <c r="B320" s="75">
        <v>24</v>
      </c>
      <c r="C320" s="76" t="s">
        <v>102</v>
      </c>
      <c r="D320" s="77">
        <v>12</v>
      </c>
      <c r="E320" s="77">
        <v>2</v>
      </c>
      <c r="F320" s="77">
        <f t="shared" si="4"/>
        <v>14</v>
      </c>
      <c r="G320" s="77">
        <v>1</v>
      </c>
      <c r="H320" s="167"/>
      <c r="I320" s="167"/>
      <c r="J320" s="141"/>
    </row>
    <row r="321" spans="2:10" x14ac:dyDescent="0.3">
      <c r="B321" s="75">
        <v>25</v>
      </c>
      <c r="C321" s="76" t="s">
        <v>103</v>
      </c>
      <c r="D321" s="77">
        <v>21</v>
      </c>
      <c r="E321" s="77">
        <v>3</v>
      </c>
      <c r="F321" s="77">
        <f t="shared" si="4"/>
        <v>24</v>
      </c>
      <c r="G321" s="77">
        <v>1</v>
      </c>
      <c r="H321" s="167"/>
      <c r="I321" s="167"/>
      <c r="J321" s="141"/>
    </row>
    <row r="322" spans="2:10" x14ac:dyDescent="0.3">
      <c r="B322" s="75">
        <v>26</v>
      </c>
      <c r="C322" s="76" t="s">
        <v>104</v>
      </c>
      <c r="D322" s="77">
        <v>3</v>
      </c>
      <c r="E322" s="77"/>
      <c r="F322" s="77">
        <f t="shared" si="4"/>
        <v>3</v>
      </c>
      <c r="G322" s="77">
        <v>1</v>
      </c>
      <c r="H322" s="167"/>
      <c r="I322" s="167"/>
      <c r="J322" s="141"/>
    </row>
    <row r="323" spans="2:10" x14ac:dyDescent="0.3">
      <c r="B323" s="75">
        <v>27</v>
      </c>
      <c r="C323" s="76" t="s">
        <v>106</v>
      </c>
      <c r="D323" s="77">
        <v>28</v>
      </c>
      <c r="E323" s="77">
        <v>0</v>
      </c>
      <c r="F323" s="77">
        <f t="shared" si="4"/>
        <v>28</v>
      </c>
      <c r="G323" s="77">
        <v>2</v>
      </c>
      <c r="H323" s="167"/>
      <c r="I323" s="167"/>
      <c r="J323" s="141"/>
    </row>
    <row r="324" spans="2:10" x14ac:dyDescent="0.3">
      <c r="B324" s="75">
        <v>28</v>
      </c>
      <c r="C324" s="76" t="s">
        <v>107</v>
      </c>
      <c r="D324" s="77">
        <v>36</v>
      </c>
      <c r="E324" s="77">
        <v>0</v>
      </c>
      <c r="F324" s="77">
        <f t="shared" ref="F324:F387" si="5">D324+E324</f>
        <v>36</v>
      </c>
      <c r="G324" s="77">
        <v>2</v>
      </c>
      <c r="H324" s="168"/>
      <c r="I324" s="168"/>
      <c r="J324" s="142"/>
    </row>
    <row r="325" spans="2:10" x14ac:dyDescent="0.3">
      <c r="B325" s="81">
        <v>1</v>
      </c>
      <c r="C325" s="82" t="s">
        <v>78</v>
      </c>
      <c r="D325" s="83">
        <v>33</v>
      </c>
      <c r="E325" s="83">
        <v>0</v>
      </c>
      <c r="F325" s="83">
        <f t="shared" si="5"/>
        <v>33</v>
      </c>
      <c r="G325" s="83">
        <v>0</v>
      </c>
      <c r="H325" s="157">
        <f>SUM(F325:F352)+SUM(G325:G352)</f>
        <v>894</v>
      </c>
      <c r="I325" s="184">
        <v>46376</v>
      </c>
      <c r="J325" s="159" t="s">
        <v>116</v>
      </c>
    </row>
    <row r="326" spans="2:10" x14ac:dyDescent="0.3">
      <c r="B326" s="81">
        <v>2</v>
      </c>
      <c r="C326" s="82" t="s">
        <v>80</v>
      </c>
      <c r="D326" s="83">
        <v>26</v>
      </c>
      <c r="E326" s="83">
        <v>3</v>
      </c>
      <c r="F326" s="83">
        <f t="shared" si="5"/>
        <v>29</v>
      </c>
      <c r="G326" s="83">
        <v>2</v>
      </c>
      <c r="H326" s="128"/>
      <c r="I326" s="128"/>
      <c r="J326" s="160"/>
    </row>
    <row r="327" spans="2:10" x14ac:dyDescent="0.3">
      <c r="B327" s="81">
        <v>3</v>
      </c>
      <c r="C327" s="82" t="s">
        <v>81</v>
      </c>
      <c r="D327" s="83">
        <v>27</v>
      </c>
      <c r="E327" s="83">
        <v>3</v>
      </c>
      <c r="F327" s="83">
        <f t="shared" si="5"/>
        <v>30</v>
      </c>
      <c r="G327" s="83">
        <v>2</v>
      </c>
      <c r="H327" s="128"/>
      <c r="I327" s="128"/>
      <c r="J327" s="160"/>
    </row>
    <row r="328" spans="2:10" x14ac:dyDescent="0.3">
      <c r="B328" s="81">
        <v>4</v>
      </c>
      <c r="C328" s="82" t="s">
        <v>82</v>
      </c>
      <c r="D328" s="83">
        <v>26</v>
      </c>
      <c r="E328" s="83">
        <v>8</v>
      </c>
      <c r="F328" s="83">
        <f t="shared" si="5"/>
        <v>34</v>
      </c>
      <c r="G328" s="83">
        <v>1</v>
      </c>
      <c r="H328" s="128"/>
      <c r="I328" s="128"/>
      <c r="J328" s="160"/>
    </row>
    <row r="329" spans="2:10" x14ac:dyDescent="0.3">
      <c r="B329" s="81">
        <v>5</v>
      </c>
      <c r="C329" s="82" t="s">
        <v>83</v>
      </c>
      <c r="D329" s="83">
        <v>15</v>
      </c>
      <c r="E329" s="83">
        <v>1</v>
      </c>
      <c r="F329" s="83">
        <f t="shared" si="5"/>
        <v>16</v>
      </c>
      <c r="G329" s="83">
        <v>1</v>
      </c>
      <c r="H329" s="128"/>
      <c r="I329" s="128"/>
      <c r="J329" s="160"/>
    </row>
    <row r="330" spans="2:10" x14ac:dyDescent="0.3">
      <c r="B330" s="81">
        <v>6</v>
      </c>
      <c r="C330" s="82" t="s">
        <v>84</v>
      </c>
      <c r="D330" s="83">
        <v>36</v>
      </c>
      <c r="E330" s="83">
        <v>0</v>
      </c>
      <c r="F330" s="83">
        <f t="shared" si="5"/>
        <v>36</v>
      </c>
      <c r="G330" s="83">
        <v>2</v>
      </c>
      <c r="H330" s="128"/>
      <c r="I330" s="128"/>
      <c r="J330" s="160"/>
    </row>
    <row r="331" spans="2:10" x14ac:dyDescent="0.3">
      <c r="B331" s="81">
        <v>7</v>
      </c>
      <c r="C331" s="82" t="s">
        <v>85</v>
      </c>
      <c r="D331" s="83">
        <v>19</v>
      </c>
      <c r="E331" s="83">
        <v>3</v>
      </c>
      <c r="F331" s="83">
        <f t="shared" si="5"/>
        <v>22</v>
      </c>
      <c r="G331" s="83">
        <v>0</v>
      </c>
      <c r="H331" s="128"/>
      <c r="I331" s="128"/>
      <c r="J331" s="160"/>
    </row>
    <row r="332" spans="2:10" x14ac:dyDescent="0.3">
      <c r="B332" s="81">
        <v>8</v>
      </c>
      <c r="C332" s="82" t="s">
        <v>86</v>
      </c>
      <c r="D332" s="83">
        <v>37</v>
      </c>
      <c r="E332" s="83">
        <v>9</v>
      </c>
      <c r="F332" s="83">
        <f t="shared" si="5"/>
        <v>46</v>
      </c>
      <c r="G332" s="83">
        <v>0</v>
      </c>
      <c r="H332" s="128"/>
      <c r="I332" s="128"/>
      <c r="J332" s="160"/>
    </row>
    <row r="333" spans="2:10" ht="26.4" x14ac:dyDescent="0.3">
      <c r="B333" s="81">
        <v>9</v>
      </c>
      <c r="C333" s="82" t="s">
        <v>87</v>
      </c>
      <c r="D333" s="83">
        <v>30</v>
      </c>
      <c r="E333" s="83">
        <v>6</v>
      </c>
      <c r="F333" s="83">
        <f t="shared" si="5"/>
        <v>36</v>
      </c>
      <c r="G333" s="83">
        <v>2</v>
      </c>
      <c r="H333" s="128"/>
      <c r="I333" s="128"/>
      <c r="J333" s="160"/>
    </row>
    <row r="334" spans="2:10" ht="26.4" x14ac:dyDescent="0.3">
      <c r="B334" s="81">
        <v>10</v>
      </c>
      <c r="C334" s="82" t="s">
        <v>88</v>
      </c>
      <c r="D334" s="83">
        <v>26</v>
      </c>
      <c r="E334" s="83">
        <v>10</v>
      </c>
      <c r="F334" s="83">
        <f t="shared" si="5"/>
        <v>36</v>
      </c>
      <c r="G334" s="83">
        <v>2</v>
      </c>
      <c r="H334" s="128"/>
      <c r="I334" s="128"/>
      <c r="J334" s="160"/>
    </row>
    <row r="335" spans="2:10" x14ac:dyDescent="0.3">
      <c r="B335" s="81">
        <v>11</v>
      </c>
      <c r="C335" s="82" t="s">
        <v>89</v>
      </c>
      <c r="D335" s="83">
        <v>37</v>
      </c>
      <c r="E335" s="83">
        <v>7</v>
      </c>
      <c r="F335" s="83">
        <f t="shared" si="5"/>
        <v>44</v>
      </c>
      <c r="G335" s="83">
        <v>0</v>
      </c>
      <c r="H335" s="128"/>
      <c r="I335" s="128"/>
      <c r="J335" s="160"/>
    </row>
    <row r="336" spans="2:10" ht="26.4" x14ac:dyDescent="0.3">
      <c r="B336" s="81">
        <v>12</v>
      </c>
      <c r="C336" s="82" t="s">
        <v>90</v>
      </c>
      <c r="D336" s="83">
        <v>36</v>
      </c>
      <c r="E336" s="83">
        <v>6</v>
      </c>
      <c r="F336" s="83">
        <f t="shared" si="5"/>
        <v>42</v>
      </c>
      <c r="G336" s="83">
        <v>3</v>
      </c>
      <c r="H336" s="128"/>
      <c r="I336" s="128"/>
      <c r="J336" s="160"/>
    </row>
    <row r="337" spans="2:10" x14ac:dyDescent="0.3">
      <c r="B337" s="81">
        <v>13</v>
      </c>
      <c r="C337" s="82" t="s">
        <v>91</v>
      </c>
      <c r="D337" s="83">
        <v>32</v>
      </c>
      <c r="E337" s="83">
        <v>0</v>
      </c>
      <c r="F337" s="83">
        <f t="shared" si="5"/>
        <v>32</v>
      </c>
      <c r="G337" s="83">
        <v>2</v>
      </c>
      <c r="H337" s="128"/>
      <c r="I337" s="128"/>
      <c r="J337" s="160"/>
    </row>
    <row r="338" spans="2:10" x14ac:dyDescent="0.3">
      <c r="B338" s="81">
        <v>14</v>
      </c>
      <c r="C338" s="82" t="s">
        <v>92</v>
      </c>
      <c r="D338" s="83">
        <v>29</v>
      </c>
      <c r="E338" s="83">
        <v>2</v>
      </c>
      <c r="F338" s="83">
        <f t="shared" si="5"/>
        <v>31</v>
      </c>
      <c r="G338" s="83">
        <v>2</v>
      </c>
      <c r="H338" s="128"/>
      <c r="I338" s="128"/>
      <c r="J338" s="160"/>
    </row>
    <row r="339" spans="2:10" x14ac:dyDescent="0.3">
      <c r="B339" s="81">
        <v>15</v>
      </c>
      <c r="C339" s="82" t="s">
        <v>93</v>
      </c>
      <c r="D339" s="83">
        <v>25</v>
      </c>
      <c r="E339" s="83">
        <v>6</v>
      </c>
      <c r="F339" s="83">
        <f t="shared" si="5"/>
        <v>31</v>
      </c>
      <c r="G339" s="83">
        <v>2</v>
      </c>
      <c r="H339" s="128"/>
      <c r="I339" s="128"/>
      <c r="J339" s="160"/>
    </row>
    <row r="340" spans="2:10" ht="26.4" x14ac:dyDescent="0.3">
      <c r="B340" s="81">
        <v>16</v>
      </c>
      <c r="C340" s="82" t="s">
        <v>94</v>
      </c>
      <c r="D340" s="83">
        <v>21</v>
      </c>
      <c r="E340" s="83">
        <v>8</v>
      </c>
      <c r="F340" s="83">
        <f t="shared" si="5"/>
        <v>29</v>
      </c>
      <c r="G340" s="83">
        <v>1</v>
      </c>
      <c r="H340" s="128"/>
      <c r="I340" s="128"/>
      <c r="J340" s="160"/>
    </row>
    <row r="341" spans="2:10" ht="26.4" x14ac:dyDescent="0.3">
      <c r="B341" s="81">
        <v>17</v>
      </c>
      <c r="C341" s="82" t="s">
        <v>95</v>
      </c>
      <c r="D341" s="83">
        <v>27</v>
      </c>
      <c r="E341" s="83">
        <v>2</v>
      </c>
      <c r="F341" s="83">
        <f t="shared" si="5"/>
        <v>29</v>
      </c>
      <c r="G341" s="83">
        <v>1</v>
      </c>
      <c r="H341" s="128"/>
      <c r="I341" s="128"/>
      <c r="J341" s="160"/>
    </row>
    <row r="342" spans="2:10" x14ac:dyDescent="0.3">
      <c r="B342" s="81">
        <v>18</v>
      </c>
      <c r="C342" s="82" t="s">
        <v>96</v>
      </c>
      <c r="D342" s="83">
        <v>20</v>
      </c>
      <c r="E342" s="83">
        <v>1</v>
      </c>
      <c r="F342" s="83">
        <f t="shared" si="5"/>
        <v>21</v>
      </c>
      <c r="G342" s="83">
        <v>1</v>
      </c>
      <c r="H342" s="128"/>
      <c r="I342" s="128"/>
      <c r="J342" s="160"/>
    </row>
    <row r="343" spans="2:10" ht="26.4" x14ac:dyDescent="0.3">
      <c r="B343" s="81">
        <v>19</v>
      </c>
      <c r="C343" s="82" t="s">
        <v>97</v>
      </c>
      <c r="D343" s="83">
        <v>65</v>
      </c>
      <c r="E343" s="83">
        <v>5</v>
      </c>
      <c r="F343" s="83">
        <f t="shared" si="5"/>
        <v>70</v>
      </c>
      <c r="G343" s="83">
        <v>3</v>
      </c>
      <c r="H343" s="128"/>
      <c r="I343" s="128"/>
      <c r="J343" s="160"/>
    </row>
    <row r="344" spans="2:10" x14ac:dyDescent="0.3">
      <c r="B344" s="81">
        <v>20</v>
      </c>
      <c r="C344" s="82" t="s">
        <v>98</v>
      </c>
      <c r="D344" s="83">
        <v>21</v>
      </c>
      <c r="E344" s="83">
        <v>2</v>
      </c>
      <c r="F344" s="83">
        <f t="shared" si="5"/>
        <v>23</v>
      </c>
      <c r="G344" s="83">
        <v>1</v>
      </c>
      <c r="H344" s="128"/>
      <c r="I344" s="128"/>
      <c r="J344" s="160"/>
    </row>
    <row r="345" spans="2:10" ht="26.4" x14ac:dyDescent="0.3">
      <c r="B345" s="81">
        <v>21</v>
      </c>
      <c r="C345" s="82" t="s">
        <v>99</v>
      </c>
      <c r="D345" s="83">
        <v>16</v>
      </c>
      <c r="E345" s="83">
        <v>1</v>
      </c>
      <c r="F345" s="83">
        <f t="shared" si="5"/>
        <v>17</v>
      </c>
      <c r="G345" s="83">
        <v>0</v>
      </c>
      <c r="H345" s="128"/>
      <c r="I345" s="128"/>
      <c r="J345" s="160"/>
    </row>
    <row r="346" spans="2:10" x14ac:dyDescent="0.3">
      <c r="B346" s="81">
        <v>22</v>
      </c>
      <c r="C346" s="82" t="s">
        <v>100</v>
      </c>
      <c r="D346" s="83">
        <v>33</v>
      </c>
      <c r="E346" s="83">
        <v>3</v>
      </c>
      <c r="F346" s="83">
        <f t="shared" si="5"/>
        <v>36</v>
      </c>
      <c r="G346" s="83">
        <v>0</v>
      </c>
      <c r="H346" s="128"/>
      <c r="I346" s="128"/>
      <c r="J346" s="160"/>
    </row>
    <row r="347" spans="2:10" ht="26.4" x14ac:dyDescent="0.3">
      <c r="B347" s="81">
        <v>23</v>
      </c>
      <c r="C347" s="82" t="s">
        <v>101</v>
      </c>
      <c r="D347" s="83">
        <v>28</v>
      </c>
      <c r="E347" s="83">
        <v>3</v>
      </c>
      <c r="F347" s="83">
        <f t="shared" si="5"/>
        <v>31</v>
      </c>
      <c r="G347" s="83">
        <v>0</v>
      </c>
      <c r="H347" s="128"/>
      <c r="I347" s="128"/>
      <c r="J347" s="160"/>
    </row>
    <row r="348" spans="2:10" x14ac:dyDescent="0.3">
      <c r="B348" s="81">
        <v>24</v>
      </c>
      <c r="C348" s="82" t="s">
        <v>102</v>
      </c>
      <c r="D348" s="83">
        <v>12</v>
      </c>
      <c r="E348" s="83">
        <v>2</v>
      </c>
      <c r="F348" s="83">
        <f t="shared" si="5"/>
        <v>14</v>
      </c>
      <c r="G348" s="83">
        <v>1</v>
      </c>
      <c r="H348" s="128"/>
      <c r="I348" s="128"/>
      <c r="J348" s="160"/>
    </row>
    <row r="349" spans="2:10" x14ac:dyDescent="0.3">
      <c r="B349" s="81">
        <v>25</v>
      </c>
      <c r="C349" s="82" t="s">
        <v>103</v>
      </c>
      <c r="D349" s="83">
        <v>21</v>
      </c>
      <c r="E349" s="83">
        <v>3</v>
      </c>
      <c r="F349" s="83">
        <f t="shared" si="5"/>
        <v>24</v>
      </c>
      <c r="G349" s="83">
        <v>1</v>
      </c>
      <c r="H349" s="128"/>
      <c r="I349" s="128"/>
      <c r="J349" s="160"/>
    </row>
    <row r="350" spans="2:10" x14ac:dyDescent="0.3">
      <c r="B350" s="81">
        <v>26</v>
      </c>
      <c r="C350" s="82" t="s">
        <v>104</v>
      </c>
      <c r="D350" s="83">
        <v>3</v>
      </c>
      <c r="E350" s="83"/>
      <c r="F350" s="83">
        <f t="shared" si="5"/>
        <v>3</v>
      </c>
      <c r="G350" s="83">
        <v>1</v>
      </c>
      <c r="H350" s="128"/>
      <c r="I350" s="128"/>
      <c r="J350" s="160"/>
    </row>
    <row r="351" spans="2:10" x14ac:dyDescent="0.3">
      <c r="B351" s="81">
        <v>27</v>
      </c>
      <c r="C351" s="82" t="s">
        <v>106</v>
      </c>
      <c r="D351" s="83">
        <v>28</v>
      </c>
      <c r="E351" s="83">
        <v>0</v>
      </c>
      <c r="F351" s="83">
        <f t="shared" si="5"/>
        <v>28</v>
      </c>
      <c r="G351" s="83">
        <v>2</v>
      </c>
      <c r="H351" s="128"/>
      <c r="I351" s="128"/>
      <c r="J351" s="160"/>
    </row>
    <row r="352" spans="2:10" x14ac:dyDescent="0.3">
      <c r="B352" s="81">
        <v>28</v>
      </c>
      <c r="C352" s="82" t="s">
        <v>107</v>
      </c>
      <c r="D352" s="83">
        <v>36</v>
      </c>
      <c r="E352" s="83">
        <v>0</v>
      </c>
      <c r="F352" s="83">
        <f t="shared" si="5"/>
        <v>36</v>
      </c>
      <c r="G352" s="83">
        <v>2</v>
      </c>
      <c r="H352" s="158"/>
      <c r="I352" s="158"/>
      <c r="J352" s="161"/>
    </row>
    <row r="353" spans="3:7" x14ac:dyDescent="0.3">
      <c r="C353" s="1"/>
      <c r="D353" s="1"/>
      <c r="E353" s="1"/>
      <c r="F353" s="1"/>
      <c r="G353" s="1"/>
    </row>
    <row r="354" spans="3:7" x14ac:dyDescent="0.3">
      <c r="C354" s="1"/>
      <c r="D354" s="1"/>
      <c r="E354" s="1"/>
      <c r="F354" s="1"/>
      <c r="G354" s="1"/>
    </row>
    <row r="355" spans="3:7" x14ac:dyDescent="0.3">
      <c r="C355" s="1"/>
      <c r="D355" s="1"/>
      <c r="E355" s="1"/>
      <c r="F355" s="1"/>
      <c r="G355" s="1"/>
    </row>
    <row r="356" spans="3:7" x14ac:dyDescent="0.3">
      <c r="C356" s="1"/>
      <c r="D356" s="1"/>
      <c r="E356" s="1"/>
      <c r="F356" s="1"/>
      <c r="G356" s="1"/>
    </row>
    <row r="357" spans="3:7" x14ac:dyDescent="0.3">
      <c r="C357" s="1"/>
      <c r="D357" s="1"/>
      <c r="E357" s="1"/>
      <c r="F357" s="1"/>
      <c r="G357" s="1"/>
    </row>
    <row r="358" spans="3:7" x14ac:dyDescent="0.3">
      <c r="C358" s="1"/>
      <c r="D358" s="1"/>
      <c r="E358" s="1"/>
      <c r="F358" s="1"/>
      <c r="G358" s="1"/>
    </row>
    <row r="359" spans="3:7" x14ac:dyDescent="0.3">
      <c r="C359" s="1"/>
      <c r="D359" s="1"/>
      <c r="E359" s="1"/>
      <c r="F359" s="1"/>
      <c r="G359" s="1"/>
    </row>
    <row r="360" spans="3:7" x14ac:dyDescent="0.3">
      <c r="C360" s="1"/>
      <c r="D360" s="1"/>
      <c r="E360" s="1"/>
      <c r="F360" s="1"/>
      <c r="G360" s="1"/>
    </row>
    <row r="361" spans="3:7" x14ac:dyDescent="0.3">
      <c r="C361" s="1"/>
      <c r="D361" s="1"/>
      <c r="E361" s="1"/>
      <c r="F361" s="1"/>
      <c r="G361" s="1"/>
    </row>
    <row r="362" spans="3:7" x14ac:dyDescent="0.3">
      <c r="C362" s="1"/>
      <c r="D362" s="1"/>
      <c r="E362" s="1"/>
      <c r="F362" s="1"/>
      <c r="G362" s="1"/>
    </row>
    <row r="363" spans="3:7" x14ac:dyDescent="0.3">
      <c r="C363" s="1"/>
      <c r="D363" s="1"/>
      <c r="E363" s="1"/>
      <c r="F363" s="1"/>
      <c r="G363" s="1"/>
    </row>
    <row r="364" spans="3:7" x14ac:dyDescent="0.3">
      <c r="C364" s="1"/>
      <c r="D364" s="1"/>
      <c r="E364" s="1"/>
      <c r="F364" s="1"/>
      <c r="G364" s="1"/>
    </row>
    <row r="365" spans="3:7" x14ac:dyDescent="0.3">
      <c r="C365" s="1"/>
      <c r="D365" s="1"/>
      <c r="E365" s="1"/>
      <c r="F365" s="1"/>
      <c r="G365" s="1"/>
    </row>
    <row r="366" spans="3:7" x14ac:dyDescent="0.3">
      <c r="C366" s="1"/>
      <c r="D366" s="1"/>
      <c r="E366" s="1"/>
      <c r="F366" s="1"/>
      <c r="G366" s="1"/>
    </row>
    <row r="367" spans="3:7" x14ac:dyDescent="0.3">
      <c r="C367" s="1"/>
      <c r="D367" s="1"/>
      <c r="E367" s="1"/>
      <c r="F367" s="1"/>
      <c r="G367" s="1"/>
    </row>
    <row r="368" spans="3:7" x14ac:dyDescent="0.3">
      <c r="C368" s="1"/>
      <c r="D368" s="1"/>
      <c r="E368" s="1"/>
      <c r="F368" s="1"/>
      <c r="G368" s="1"/>
    </row>
    <row r="369" spans="3:7" x14ac:dyDescent="0.3">
      <c r="C369" s="1"/>
      <c r="D369" s="1"/>
      <c r="E369" s="1"/>
      <c r="F369" s="1"/>
      <c r="G369" s="1"/>
    </row>
    <row r="370" spans="3:7" x14ac:dyDescent="0.3">
      <c r="C370" s="1"/>
      <c r="D370" s="1"/>
      <c r="E370" s="1"/>
      <c r="F370" s="1"/>
      <c r="G370" s="1"/>
    </row>
    <row r="371" spans="3:7" x14ac:dyDescent="0.3">
      <c r="C371" s="1"/>
      <c r="D371" s="1"/>
      <c r="E371" s="1"/>
      <c r="F371" s="1"/>
      <c r="G371" s="1"/>
    </row>
    <row r="372" spans="3:7" x14ac:dyDescent="0.3">
      <c r="C372" s="1"/>
      <c r="D372" s="1"/>
      <c r="E372" s="1"/>
      <c r="F372" s="1"/>
      <c r="G372" s="1"/>
    </row>
    <row r="373" spans="3:7" x14ac:dyDescent="0.3">
      <c r="C373" s="1"/>
      <c r="D373" s="1"/>
      <c r="E373" s="1"/>
      <c r="F373" s="1"/>
      <c r="G373" s="1"/>
    </row>
    <row r="374" spans="3:7" x14ac:dyDescent="0.3">
      <c r="C374" s="1"/>
      <c r="D374" s="1"/>
      <c r="E374" s="1"/>
      <c r="F374" s="1"/>
      <c r="G374" s="1"/>
    </row>
    <row r="375" spans="3:7" x14ac:dyDescent="0.3">
      <c r="C375" s="1"/>
      <c r="D375" s="1"/>
      <c r="E375" s="1"/>
      <c r="F375" s="1"/>
      <c r="G375" s="1"/>
    </row>
    <row r="376" spans="3:7" x14ac:dyDescent="0.3">
      <c r="C376" s="1"/>
      <c r="D376" s="1"/>
      <c r="E376" s="1"/>
      <c r="F376" s="1"/>
      <c r="G376" s="1"/>
    </row>
    <row r="377" spans="3:7" x14ac:dyDescent="0.3">
      <c r="C377" s="1"/>
      <c r="D377" s="1"/>
      <c r="E377" s="1"/>
      <c r="F377" s="1"/>
      <c r="G377" s="1"/>
    </row>
    <row r="378" spans="3:7" x14ac:dyDescent="0.3">
      <c r="C378" s="1"/>
      <c r="D378" s="1"/>
      <c r="E378" s="1"/>
      <c r="F378" s="1"/>
      <c r="G378" s="1"/>
    </row>
    <row r="379" spans="3:7" x14ac:dyDescent="0.3">
      <c r="C379" s="1"/>
      <c r="D379" s="1"/>
      <c r="E379" s="1"/>
      <c r="F379" s="1"/>
      <c r="G379" s="1"/>
    </row>
    <row r="380" spans="3:7" x14ac:dyDescent="0.3">
      <c r="C380" s="1"/>
      <c r="D380" s="1"/>
      <c r="E380" s="1"/>
      <c r="F380" s="1"/>
      <c r="G380" s="1"/>
    </row>
    <row r="381" spans="3:7" x14ac:dyDescent="0.3">
      <c r="C381" s="1"/>
      <c r="D381" s="1"/>
      <c r="E381" s="1"/>
      <c r="F381" s="1"/>
      <c r="G381" s="1"/>
    </row>
    <row r="382" spans="3:7" x14ac:dyDescent="0.3">
      <c r="C382" s="1"/>
      <c r="D382" s="1"/>
      <c r="E382" s="1"/>
      <c r="F382" s="1"/>
      <c r="G382" s="1"/>
    </row>
    <row r="383" spans="3:7" x14ac:dyDescent="0.3">
      <c r="C383" s="1"/>
      <c r="D383" s="1"/>
      <c r="E383" s="1"/>
      <c r="F383" s="1"/>
      <c r="G383" s="1"/>
    </row>
    <row r="384" spans="3:7" x14ac:dyDescent="0.3">
      <c r="C384" s="1"/>
      <c r="D384" s="1"/>
      <c r="E384" s="1"/>
      <c r="F384" s="1"/>
      <c r="G384" s="1"/>
    </row>
    <row r="385" spans="3:7" x14ac:dyDescent="0.3">
      <c r="C385" s="1"/>
      <c r="D385" s="1"/>
      <c r="E385" s="1"/>
      <c r="F385" s="1"/>
      <c r="G385" s="1"/>
    </row>
    <row r="386" spans="3:7" x14ac:dyDescent="0.3">
      <c r="C386" s="1"/>
      <c r="D386" s="1"/>
      <c r="E386" s="1"/>
      <c r="F386" s="1"/>
      <c r="G386" s="1"/>
    </row>
    <row r="387" spans="3:7" x14ac:dyDescent="0.3">
      <c r="C387" s="1"/>
      <c r="D387" s="1"/>
      <c r="E387" s="1"/>
      <c r="F387" s="1"/>
      <c r="G387" s="1"/>
    </row>
    <row r="388" spans="3:7" x14ac:dyDescent="0.3">
      <c r="C388" s="1"/>
      <c r="D388" s="1"/>
      <c r="E388" s="1"/>
      <c r="F388" s="1"/>
      <c r="G388" s="1"/>
    </row>
    <row r="389" spans="3:7" x14ac:dyDescent="0.3">
      <c r="C389" s="1"/>
      <c r="D389" s="1"/>
      <c r="E389" s="1"/>
      <c r="F389" s="1"/>
      <c r="G389" s="1"/>
    </row>
    <row r="390" spans="3:7" x14ac:dyDescent="0.3">
      <c r="C390" s="1"/>
      <c r="D390" s="1"/>
      <c r="E390" s="1"/>
      <c r="F390" s="1"/>
      <c r="G390" s="1"/>
    </row>
    <row r="391" spans="3:7" x14ac:dyDescent="0.3">
      <c r="C391" s="1"/>
      <c r="D391" s="1"/>
      <c r="E391" s="1"/>
      <c r="F391" s="1"/>
      <c r="G391" s="1"/>
    </row>
    <row r="392" spans="3:7" x14ac:dyDescent="0.3">
      <c r="C392" s="1"/>
      <c r="D392" s="1"/>
      <c r="E392" s="1"/>
      <c r="F392" s="1"/>
      <c r="G392" s="1"/>
    </row>
    <row r="393" spans="3:7" x14ac:dyDescent="0.3">
      <c r="C393" s="1"/>
      <c r="D393" s="1"/>
      <c r="E393" s="1"/>
      <c r="F393" s="1"/>
      <c r="G393" s="1"/>
    </row>
    <row r="394" spans="3:7" x14ac:dyDescent="0.3">
      <c r="C394" s="1"/>
      <c r="D394" s="1"/>
      <c r="E394" s="1"/>
      <c r="F394" s="1"/>
      <c r="G394" s="1"/>
    </row>
    <row r="395" spans="3:7" x14ac:dyDescent="0.3">
      <c r="C395" s="1"/>
      <c r="D395" s="1"/>
      <c r="E395" s="1"/>
      <c r="F395" s="1"/>
      <c r="G395" s="1"/>
    </row>
    <row r="396" spans="3:7" x14ac:dyDescent="0.3">
      <c r="C396" s="1"/>
      <c r="D396" s="1"/>
      <c r="E396" s="1"/>
      <c r="F396" s="1"/>
      <c r="G396" s="1"/>
    </row>
    <row r="397" spans="3:7" x14ac:dyDescent="0.3">
      <c r="C397" s="1"/>
      <c r="D397" s="1"/>
      <c r="E397" s="1"/>
      <c r="F397" s="1"/>
      <c r="G397" s="1"/>
    </row>
    <row r="398" spans="3:7" x14ac:dyDescent="0.3">
      <c r="C398" s="1"/>
      <c r="D398" s="1"/>
      <c r="E398" s="1"/>
      <c r="F398" s="1"/>
      <c r="G398" s="1"/>
    </row>
    <row r="399" spans="3:7" x14ac:dyDescent="0.3">
      <c r="C399" s="1"/>
      <c r="D399" s="1"/>
      <c r="E399" s="1"/>
      <c r="F399" s="1"/>
      <c r="G399" s="1"/>
    </row>
    <row r="400" spans="3:7" x14ac:dyDescent="0.3">
      <c r="C400" s="1"/>
      <c r="D400" s="1"/>
      <c r="E400" s="1"/>
      <c r="F400" s="1"/>
      <c r="G400" s="1"/>
    </row>
    <row r="401" spans="3:7" x14ac:dyDescent="0.3">
      <c r="C401" s="1"/>
      <c r="D401" s="1"/>
      <c r="E401" s="1"/>
      <c r="F401" s="1"/>
      <c r="G401" s="1"/>
    </row>
    <row r="402" spans="3:7" x14ac:dyDescent="0.3">
      <c r="C402" s="1"/>
      <c r="D402" s="1"/>
      <c r="E402" s="1"/>
      <c r="F402" s="1"/>
      <c r="G402" s="1"/>
    </row>
    <row r="403" spans="3:7" x14ac:dyDescent="0.3">
      <c r="C403" s="1"/>
      <c r="D403" s="1"/>
      <c r="E403" s="1"/>
      <c r="F403" s="1"/>
      <c r="G403" s="1"/>
    </row>
    <row r="404" spans="3:7" x14ac:dyDescent="0.3">
      <c r="C404" s="1"/>
      <c r="D404" s="1"/>
      <c r="E404" s="1"/>
      <c r="F404" s="1"/>
      <c r="G404" s="1"/>
    </row>
    <row r="405" spans="3:7" x14ac:dyDescent="0.3">
      <c r="C405" s="1"/>
      <c r="D405" s="1"/>
      <c r="E405" s="1"/>
      <c r="F405" s="1"/>
      <c r="G405" s="1"/>
    </row>
    <row r="406" spans="3:7" x14ac:dyDescent="0.3">
      <c r="C406" s="1"/>
      <c r="D406" s="1"/>
      <c r="E406" s="1"/>
      <c r="F406" s="1"/>
      <c r="G406" s="1"/>
    </row>
    <row r="407" spans="3:7" x14ac:dyDescent="0.3">
      <c r="C407" s="1"/>
      <c r="D407" s="1"/>
      <c r="E407" s="1"/>
      <c r="F407" s="1"/>
      <c r="G407" s="1"/>
    </row>
    <row r="408" spans="3:7" x14ac:dyDescent="0.3">
      <c r="C408" s="1"/>
      <c r="D408" s="1"/>
      <c r="E408" s="1"/>
      <c r="F408" s="1"/>
      <c r="G408" s="1"/>
    </row>
    <row r="409" spans="3:7" x14ac:dyDescent="0.3">
      <c r="C409" s="1"/>
      <c r="D409" s="1"/>
      <c r="E409" s="1"/>
      <c r="F409" s="1"/>
      <c r="G409" s="1"/>
    </row>
    <row r="410" spans="3:7" x14ac:dyDescent="0.3">
      <c r="C410" s="1"/>
      <c r="D410" s="1"/>
      <c r="E410" s="1"/>
      <c r="F410" s="1"/>
      <c r="G410" s="1"/>
    </row>
    <row r="411" spans="3:7" x14ac:dyDescent="0.3">
      <c r="C411" s="1"/>
      <c r="D411" s="1"/>
      <c r="E411" s="1"/>
      <c r="F411" s="1"/>
      <c r="G411" s="1"/>
    </row>
    <row r="412" spans="3:7" x14ac:dyDescent="0.3">
      <c r="C412" s="1"/>
      <c r="D412" s="1"/>
      <c r="E412" s="1"/>
      <c r="F412" s="1"/>
      <c r="G412" s="1"/>
    </row>
    <row r="413" spans="3:7" x14ac:dyDescent="0.3">
      <c r="C413" s="1"/>
      <c r="D413" s="1"/>
      <c r="E413" s="1"/>
      <c r="F413" s="1"/>
      <c r="G413" s="1"/>
    </row>
    <row r="414" spans="3:7" x14ac:dyDescent="0.3">
      <c r="C414" s="1"/>
      <c r="D414" s="1"/>
      <c r="E414" s="1"/>
      <c r="F414" s="1"/>
      <c r="G414" s="1"/>
    </row>
    <row r="415" spans="3:7" x14ac:dyDescent="0.3">
      <c r="C415" s="1"/>
      <c r="D415" s="1"/>
      <c r="E415" s="1"/>
      <c r="F415" s="1"/>
      <c r="G415" s="1"/>
    </row>
    <row r="416" spans="3:7" x14ac:dyDescent="0.3">
      <c r="C416" s="1"/>
      <c r="D416" s="1"/>
      <c r="E416" s="1"/>
      <c r="F416" s="1"/>
      <c r="G416" s="1"/>
    </row>
    <row r="417" spans="3:7" x14ac:dyDescent="0.3">
      <c r="C417" s="1"/>
      <c r="D417" s="1"/>
      <c r="E417" s="1"/>
      <c r="F417" s="1"/>
      <c r="G417" s="1"/>
    </row>
    <row r="418" spans="3:7" x14ac:dyDescent="0.3">
      <c r="C418" s="1"/>
      <c r="D418" s="1"/>
      <c r="E418" s="1"/>
      <c r="F418" s="1"/>
      <c r="G418" s="1"/>
    </row>
    <row r="419" spans="3:7" x14ac:dyDescent="0.3">
      <c r="C419" s="1"/>
      <c r="D419" s="1"/>
      <c r="E419" s="1"/>
      <c r="F419" s="1"/>
      <c r="G419" s="1"/>
    </row>
    <row r="420" spans="3:7" x14ac:dyDescent="0.3">
      <c r="C420" s="1"/>
      <c r="D420" s="1"/>
      <c r="E420" s="1"/>
      <c r="F420" s="1"/>
      <c r="G420" s="1"/>
    </row>
    <row r="421" spans="3:7" x14ac:dyDescent="0.3">
      <c r="C421" s="1"/>
      <c r="D421" s="1"/>
      <c r="E421" s="1"/>
      <c r="F421" s="1"/>
      <c r="G421" s="1"/>
    </row>
    <row r="422" spans="3:7" x14ac:dyDescent="0.3">
      <c r="C422" s="1"/>
      <c r="D422" s="1"/>
      <c r="E422" s="1"/>
      <c r="F422" s="1"/>
      <c r="G422" s="1"/>
    </row>
    <row r="423" spans="3:7" x14ac:dyDescent="0.3">
      <c r="C423" s="1"/>
      <c r="D423" s="1"/>
      <c r="E423" s="1"/>
      <c r="F423" s="1"/>
      <c r="G423" s="1"/>
    </row>
    <row r="424" spans="3:7" x14ac:dyDescent="0.3">
      <c r="C424" s="1"/>
      <c r="D424" s="1"/>
      <c r="E424" s="1"/>
      <c r="F424" s="1"/>
      <c r="G424" s="1"/>
    </row>
    <row r="425" spans="3:7" x14ac:dyDescent="0.3">
      <c r="C425" s="1"/>
      <c r="D425" s="1"/>
      <c r="E425" s="1"/>
      <c r="F425" s="1"/>
      <c r="G425" s="1"/>
    </row>
    <row r="426" spans="3:7" x14ac:dyDescent="0.3">
      <c r="C426" s="1"/>
      <c r="D426" s="1"/>
      <c r="E426" s="1"/>
      <c r="F426" s="1"/>
      <c r="G426" s="1"/>
    </row>
    <row r="427" spans="3:7" x14ac:dyDescent="0.3">
      <c r="C427" s="1"/>
      <c r="D427" s="1"/>
      <c r="E427" s="1"/>
      <c r="F427" s="1"/>
      <c r="G427" s="1"/>
    </row>
    <row r="428" spans="3:7" x14ac:dyDescent="0.3">
      <c r="C428" s="1"/>
      <c r="D428" s="1"/>
      <c r="E428" s="1"/>
      <c r="F428" s="1"/>
      <c r="G428" s="1"/>
    </row>
    <row r="429" spans="3:7" x14ac:dyDescent="0.3">
      <c r="C429" s="1"/>
      <c r="D429" s="1"/>
      <c r="E429" s="1"/>
      <c r="F429" s="1"/>
      <c r="G429" s="1"/>
    </row>
    <row r="430" spans="3:7" x14ac:dyDescent="0.3">
      <c r="C430" s="1"/>
      <c r="D430" s="1"/>
      <c r="E430" s="1"/>
      <c r="F430" s="1"/>
      <c r="G430" s="1"/>
    </row>
    <row r="431" spans="3:7" x14ac:dyDescent="0.3">
      <c r="C431" s="1"/>
      <c r="D431" s="1"/>
      <c r="E431" s="1"/>
      <c r="F431" s="1"/>
      <c r="G431" s="1"/>
    </row>
    <row r="432" spans="3:7" x14ac:dyDescent="0.3">
      <c r="C432" s="1"/>
      <c r="D432" s="1"/>
      <c r="E432" s="1"/>
      <c r="F432" s="1"/>
      <c r="G432" s="1"/>
    </row>
    <row r="433" spans="3:7" x14ac:dyDescent="0.3">
      <c r="C433" s="1"/>
      <c r="D433" s="1"/>
      <c r="E433" s="1"/>
      <c r="F433" s="1"/>
      <c r="G433" s="1"/>
    </row>
    <row r="434" spans="3:7" x14ac:dyDescent="0.3">
      <c r="C434" s="1"/>
      <c r="D434" s="1"/>
      <c r="E434" s="1"/>
      <c r="F434" s="1"/>
      <c r="G434" s="1"/>
    </row>
    <row r="435" spans="3:7" x14ac:dyDescent="0.3">
      <c r="C435" s="1"/>
      <c r="D435" s="1"/>
      <c r="E435" s="1"/>
      <c r="F435" s="1"/>
      <c r="G435" s="1"/>
    </row>
    <row r="436" spans="3:7" x14ac:dyDescent="0.3">
      <c r="C436" s="1"/>
      <c r="D436" s="1"/>
      <c r="E436" s="1"/>
      <c r="F436" s="1"/>
      <c r="G436" s="1"/>
    </row>
    <row r="437" spans="3:7" x14ac:dyDescent="0.3">
      <c r="C437" s="1"/>
      <c r="D437" s="1"/>
      <c r="E437" s="1"/>
      <c r="F437" s="1"/>
      <c r="G437" s="1"/>
    </row>
    <row r="438" spans="3:7" x14ac:dyDescent="0.3">
      <c r="C438" s="1"/>
      <c r="D438" s="1"/>
      <c r="E438" s="1"/>
      <c r="F438" s="1"/>
      <c r="G438" s="1"/>
    </row>
    <row r="439" spans="3:7" x14ac:dyDescent="0.3">
      <c r="C439" s="1"/>
      <c r="D439" s="1"/>
      <c r="E439" s="1"/>
      <c r="F439" s="1"/>
      <c r="G439" s="1"/>
    </row>
    <row r="440" spans="3:7" x14ac:dyDescent="0.3">
      <c r="C440" s="1"/>
      <c r="D440" s="1"/>
      <c r="E440" s="1"/>
      <c r="F440" s="1"/>
      <c r="G440" s="1"/>
    </row>
    <row r="441" spans="3:7" x14ac:dyDescent="0.3">
      <c r="C441" s="1"/>
      <c r="D441" s="1"/>
      <c r="E441" s="1"/>
      <c r="F441" s="1"/>
      <c r="G441" s="1"/>
    </row>
    <row r="442" spans="3:7" x14ac:dyDescent="0.3">
      <c r="C442" s="1"/>
      <c r="D442" s="1"/>
      <c r="E442" s="1"/>
      <c r="F442" s="1"/>
      <c r="G442" s="1"/>
    </row>
    <row r="443" spans="3:7" x14ac:dyDescent="0.3">
      <c r="C443" s="1"/>
      <c r="D443" s="1"/>
      <c r="E443" s="1"/>
      <c r="F443" s="1"/>
      <c r="G443" s="1"/>
    </row>
    <row r="444" spans="3:7" x14ac:dyDescent="0.3">
      <c r="C444" s="1"/>
      <c r="D444" s="1"/>
      <c r="E444" s="1"/>
      <c r="F444" s="1"/>
      <c r="G444" s="1"/>
    </row>
    <row r="445" spans="3:7" x14ac:dyDescent="0.3">
      <c r="C445" s="1"/>
      <c r="D445" s="1"/>
      <c r="E445" s="1"/>
      <c r="F445" s="1"/>
      <c r="G445" s="1"/>
    </row>
    <row r="446" spans="3:7" x14ac:dyDescent="0.3">
      <c r="C446" s="1"/>
      <c r="D446" s="1"/>
      <c r="E446" s="1"/>
      <c r="F446" s="1"/>
      <c r="G446" s="1"/>
    </row>
    <row r="447" spans="3:7" x14ac:dyDescent="0.3">
      <c r="C447" s="1"/>
      <c r="D447" s="1"/>
      <c r="E447" s="1"/>
      <c r="F447" s="1"/>
      <c r="G447" s="1"/>
    </row>
    <row r="448" spans="3:7" x14ac:dyDescent="0.3">
      <c r="C448" s="1"/>
      <c r="D448" s="1"/>
      <c r="E448" s="1"/>
      <c r="F448" s="1"/>
      <c r="G448" s="1"/>
    </row>
    <row r="449" spans="3:7" x14ac:dyDescent="0.3">
      <c r="C449" s="1"/>
      <c r="D449" s="1"/>
      <c r="E449" s="1"/>
      <c r="F449" s="1"/>
      <c r="G449" s="1"/>
    </row>
    <row r="450" spans="3:7" x14ac:dyDescent="0.3">
      <c r="C450" s="1"/>
      <c r="D450" s="1"/>
      <c r="E450" s="1"/>
      <c r="F450" s="1"/>
      <c r="G450" s="1"/>
    </row>
    <row r="451" spans="3:7" x14ac:dyDescent="0.3">
      <c r="C451" s="1"/>
      <c r="D451" s="1"/>
      <c r="E451" s="1"/>
      <c r="F451" s="1"/>
      <c r="G451" s="1"/>
    </row>
    <row r="452" spans="3:7" x14ac:dyDescent="0.3">
      <c r="C452" s="1"/>
      <c r="D452" s="1"/>
      <c r="E452" s="1"/>
      <c r="F452" s="1"/>
      <c r="G452" s="1"/>
    </row>
    <row r="453" spans="3:7" x14ac:dyDescent="0.3">
      <c r="C453" s="1"/>
      <c r="D453" s="1"/>
      <c r="E453" s="1"/>
      <c r="F453" s="1"/>
      <c r="G453" s="1"/>
    </row>
    <row r="454" spans="3:7" x14ac:dyDescent="0.3">
      <c r="C454" s="1"/>
      <c r="D454" s="1"/>
      <c r="E454" s="1"/>
      <c r="F454" s="1"/>
      <c r="G454" s="1"/>
    </row>
    <row r="455" spans="3:7" x14ac:dyDescent="0.3">
      <c r="C455" s="1"/>
      <c r="D455" s="1"/>
      <c r="E455" s="1"/>
      <c r="F455" s="1"/>
      <c r="G455" s="1"/>
    </row>
    <row r="456" spans="3:7" x14ac:dyDescent="0.3">
      <c r="C456" s="1"/>
      <c r="D456" s="1"/>
      <c r="E456" s="1"/>
      <c r="F456" s="1"/>
      <c r="G456" s="1"/>
    </row>
    <row r="457" spans="3:7" x14ac:dyDescent="0.3">
      <c r="C457" s="1"/>
      <c r="D457" s="1"/>
      <c r="E457" s="1"/>
      <c r="F457" s="1"/>
      <c r="G457" s="1"/>
    </row>
    <row r="458" spans="3:7" x14ac:dyDescent="0.3">
      <c r="C458" s="1"/>
      <c r="D458" s="1"/>
      <c r="E458" s="1"/>
      <c r="F458" s="1"/>
      <c r="G458" s="1"/>
    </row>
    <row r="459" spans="3:7" x14ac:dyDescent="0.3">
      <c r="C459" s="1"/>
      <c r="D459" s="1"/>
      <c r="E459" s="1"/>
      <c r="F459" s="1"/>
      <c r="G459" s="1"/>
    </row>
    <row r="460" spans="3:7" x14ac:dyDescent="0.3">
      <c r="C460" s="1"/>
      <c r="D460" s="1"/>
      <c r="E460" s="1"/>
      <c r="F460" s="1"/>
      <c r="G460" s="1"/>
    </row>
    <row r="461" spans="3:7" x14ac:dyDescent="0.3">
      <c r="C461" s="1"/>
      <c r="D461" s="1"/>
      <c r="E461" s="1"/>
      <c r="F461" s="1"/>
      <c r="G461" s="1"/>
    </row>
    <row r="462" spans="3:7" x14ac:dyDescent="0.3">
      <c r="C462" s="1"/>
      <c r="D462" s="1"/>
      <c r="E462" s="1"/>
      <c r="F462" s="1"/>
      <c r="G462" s="1"/>
    </row>
    <row r="463" spans="3:7" x14ac:dyDescent="0.3">
      <c r="C463" s="1"/>
      <c r="D463" s="1"/>
      <c r="E463" s="1"/>
      <c r="F463" s="1"/>
      <c r="G463" s="1"/>
    </row>
    <row r="464" spans="3:7" x14ac:dyDescent="0.3">
      <c r="C464" s="1"/>
      <c r="D464" s="1"/>
      <c r="E464" s="1"/>
      <c r="F464" s="1"/>
      <c r="G464" s="1"/>
    </row>
    <row r="465" spans="3:7" x14ac:dyDescent="0.3">
      <c r="C465" s="1"/>
      <c r="D465" s="1"/>
      <c r="E465" s="1"/>
      <c r="F465" s="1"/>
      <c r="G465" s="1"/>
    </row>
    <row r="466" spans="3:7" x14ac:dyDescent="0.3">
      <c r="C466" s="1"/>
      <c r="D466" s="1"/>
      <c r="E466" s="1"/>
      <c r="F466" s="1"/>
      <c r="G466" s="1"/>
    </row>
    <row r="467" spans="3:7" x14ac:dyDescent="0.3">
      <c r="C467" s="1"/>
      <c r="D467" s="1"/>
      <c r="E467" s="1"/>
      <c r="F467" s="1"/>
      <c r="G467" s="1"/>
    </row>
    <row r="468" spans="3:7" x14ac:dyDescent="0.3">
      <c r="C468" s="1"/>
      <c r="D468" s="1"/>
      <c r="E468" s="1"/>
      <c r="F468" s="1"/>
      <c r="G468" s="1"/>
    </row>
    <row r="469" spans="3:7" x14ac:dyDescent="0.3">
      <c r="C469" s="1"/>
      <c r="D469" s="1"/>
      <c r="E469" s="1"/>
      <c r="F469" s="1"/>
      <c r="G469" s="1"/>
    </row>
    <row r="470" spans="3:7" x14ac:dyDescent="0.3">
      <c r="C470" s="1"/>
      <c r="D470" s="1"/>
      <c r="E470" s="1"/>
      <c r="F470" s="1"/>
      <c r="G470" s="1"/>
    </row>
    <row r="471" spans="3:7" x14ac:dyDescent="0.3">
      <c r="C471" s="1"/>
      <c r="D471" s="1"/>
      <c r="E471" s="1"/>
      <c r="F471" s="1"/>
      <c r="G471" s="1"/>
    </row>
    <row r="472" spans="3:7" x14ac:dyDescent="0.3">
      <c r="C472" s="1"/>
      <c r="D472" s="1"/>
      <c r="E472" s="1"/>
      <c r="F472" s="1"/>
      <c r="G472" s="1"/>
    </row>
    <row r="473" spans="3:7" x14ac:dyDescent="0.3">
      <c r="C473" s="1"/>
      <c r="D473" s="1"/>
      <c r="E473" s="1"/>
      <c r="F473" s="1"/>
      <c r="G473" s="1"/>
    </row>
    <row r="474" spans="3:7" x14ac:dyDescent="0.3">
      <c r="C474" s="1"/>
      <c r="D474" s="1"/>
      <c r="E474" s="1"/>
      <c r="F474" s="1"/>
      <c r="G474" s="1"/>
    </row>
    <row r="475" spans="3:7" x14ac:dyDescent="0.3">
      <c r="C475" s="1"/>
      <c r="D475" s="1"/>
      <c r="E475" s="1"/>
      <c r="F475" s="1"/>
      <c r="G475" s="1"/>
    </row>
    <row r="476" spans="3:7" x14ac:dyDescent="0.3">
      <c r="C476" s="1"/>
      <c r="D476" s="1"/>
      <c r="E476" s="1"/>
      <c r="F476" s="1"/>
      <c r="G476" s="1"/>
    </row>
    <row r="477" spans="3:7" x14ac:dyDescent="0.3">
      <c r="C477" s="1"/>
      <c r="D477" s="1"/>
      <c r="E477" s="1"/>
      <c r="F477" s="1"/>
      <c r="G477" s="1"/>
    </row>
    <row r="478" spans="3:7" x14ac:dyDescent="0.3">
      <c r="C478" s="1"/>
      <c r="D478" s="1"/>
      <c r="E478" s="1"/>
      <c r="F478" s="1"/>
      <c r="G478" s="1"/>
    </row>
    <row r="479" spans="3:7" x14ac:dyDescent="0.3">
      <c r="C479" s="1"/>
      <c r="D479" s="1"/>
      <c r="E479" s="1"/>
      <c r="F479" s="1"/>
      <c r="G479" s="1"/>
    </row>
    <row r="480" spans="3:7" x14ac:dyDescent="0.3">
      <c r="C480" s="1"/>
      <c r="D480" s="1"/>
      <c r="E480" s="1"/>
      <c r="F480" s="1"/>
      <c r="G480" s="1"/>
    </row>
    <row r="481" spans="3:7" x14ac:dyDescent="0.3">
      <c r="C481" s="1"/>
      <c r="D481" s="1"/>
      <c r="E481" s="1"/>
      <c r="F481" s="1"/>
      <c r="G481" s="1"/>
    </row>
    <row r="482" spans="3:7" x14ac:dyDescent="0.3">
      <c r="C482" s="1"/>
      <c r="D482" s="1"/>
      <c r="E482" s="1"/>
      <c r="F482" s="1"/>
      <c r="G482" s="1"/>
    </row>
    <row r="483" spans="3:7" x14ac:dyDescent="0.3">
      <c r="C483" s="1"/>
      <c r="D483" s="1"/>
      <c r="E483" s="1"/>
      <c r="F483" s="1"/>
      <c r="G483" s="1"/>
    </row>
    <row r="484" spans="3:7" x14ac:dyDescent="0.3">
      <c r="C484" s="1"/>
      <c r="D484" s="1"/>
      <c r="E484" s="1"/>
      <c r="F484" s="1"/>
      <c r="G484" s="1"/>
    </row>
    <row r="485" spans="3:7" x14ac:dyDescent="0.3">
      <c r="C485" s="1"/>
      <c r="D485" s="1"/>
      <c r="E485" s="1"/>
      <c r="F485" s="1"/>
      <c r="G485" s="1"/>
    </row>
    <row r="486" spans="3:7" x14ac:dyDescent="0.3">
      <c r="C486" s="1"/>
      <c r="D486" s="1"/>
      <c r="E486" s="1"/>
      <c r="F486" s="1"/>
      <c r="G486" s="1"/>
    </row>
    <row r="487" spans="3:7" x14ac:dyDescent="0.3">
      <c r="C487" s="1"/>
      <c r="D487" s="1"/>
      <c r="E487" s="1"/>
      <c r="F487" s="1"/>
      <c r="G487" s="1"/>
    </row>
    <row r="488" spans="3:7" x14ac:dyDescent="0.3">
      <c r="C488" s="1"/>
      <c r="D488" s="1"/>
      <c r="E488" s="1"/>
      <c r="F488" s="1"/>
      <c r="G488" s="1"/>
    </row>
    <row r="489" spans="3:7" x14ac:dyDescent="0.3">
      <c r="C489" s="1"/>
      <c r="D489" s="1"/>
      <c r="E489" s="1"/>
      <c r="F489" s="1"/>
      <c r="G489" s="1"/>
    </row>
    <row r="490" spans="3:7" x14ac:dyDescent="0.3">
      <c r="C490" s="1"/>
      <c r="D490" s="1"/>
      <c r="E490" s="1"/>
      <c r="F490" s="1"/>
      <c r="G490" s="1"/>
    </row>
    <row r="491" spans="3:7" x14ac:dyDescent="0.3">
      <c r="C491" s="1"/>
      <c r="D491" s="1"/>
      <c r="E491" s="1"/>
      <c r="F491" s="1"/>
      <c r="G491" s="1"/>
    </row>
    <row r="492" spans="3:7" x14ac:dyDescent="0.3">
      <c r="C492" s="1"/>
      <c r="D492" s="1"/>
      <c r="E492" s="1"/>
      <c r="F492" s="1"/>
      <c r="G492" s="1"/>
    </row>
    <row r="493" spans="3:7" x14ac:dyDescent="0.3">
      <c r="C493" s="1"/>
      <c r="D493" s="1"/>
      <c r="E493" s="1"/>
      <c r="F493" s="1"/>
      <c r="G493" s="1"/>
    </row>
    <row r="494" spans="3:7" x14ac:dyDescent="0.3">
      <c r="C494" s="1"/>
      <c r="D494" s="1"/>
      <c r="E494" s="1"/>
      <c r="F494" s="1"/>
      <c r="G494" s="1"/>
    </row>
    <row r="495" spans="3:7" x14ac:dyDescent="0.3">
      <c r="C495" s="1"/>
      <c r="D495" s="1"/>
      <c r="E495" s="1"/>
      <c r="F495" s="1"/>
      <c r="G495" s="1"/>
    </row>
    <row r="496" spans="3:7" x14ac:dyDescent="0.3">
      <c r="C496" s="1"/>
      <c r="D496" s="1"/>
      <c r="E496" s="1"/>
      <c r="F496" s="1"/>
      <c r="G496" s="1"/>
    </row>
    <row r="497" spans="3:7" x14ac:dyDescent="0.3">
      <c r="C497" s="1"/>
      <c r="D497" s="1"/>
      <c r="E497" s="1"/>
      <c r="F497" s="1"/>
      <c r="G497" s="1"/>
    </row>
    <row r="498" spans="3:7" x14ac:dyDescent="0.3">
      <c r="C498" s="1"/>
      <c r="D498" s="1"/>
      <c r="E498" s="1"/>
      <c r="F498" s="1"/>
      <c r="G498" s="1"/>
    </row>
    <row r="499" spans="3:7" x14ac:dyDescent="0.3">
      <c r="C499" s="1"/>
      <c r="D499" s="1"/>
      <c r="E499" s="1"/>
      <c r="F499" s="1"/>
      <c r="G499" s="1"/>
    </row>
    <row r="500" spans="3:7" x14ac:dyDescent="0.3">
      <c r="C500" s="1"/>
      <c r="D500" s="1"/>
      <c r="E500" s="1"/>
      <c r="F500" s="1"/>
      <c r="G500" s="1"/>
    </row>
    <row r="501" spans="3:7" x14ac:dyDescent="0.3">
      <c r="C501" s="1"/>
      <c r="D501" s="1"/>
      <c r="E501" s="1"/>
      <c r="F501" s="1"/>
      <c r="G501" s="1"/>
    </row>
    <row r="502" spans="3:7" x14ac:dyDescent="0.3">
      <c r="C502" s="1"/>
      <c r="D502" s="1"/>
      <c r="E502" s="1"/>
      <c r="F502" s="1"/>
      <c r="G502" s="1"/>
    </row>
    <row r="503" spans="3:7" x14ac:dyDescent="0.3">
      <c r="C503" s="1"/>
      <c r="D503" s="1"/>
      <c r="E503" s="1"/>
      <c r="F503" s="1"/>
      <c r="G503" s="1"/>
    </row>
    <row r="504" spans="3:7" x14ac:dyDescent="0.3">
      <c r="C504" s="1"/>
      <c r="D504" s="1"/>
      <c r="E504" s="1"/>
      <c r="F504" s="1"/>
      <c r="G504" s="1"/>
    </row>
    <row r="505" spans="3:7" x14ac:dyDescent="0.3">
      <c r="C505" s="1"/>
      <c r="D505" s="1"/>
      <c r="E505" s="1"/>
      <c r="F505" s="1"/>
      <c r="G505" s="1"/>
    </row>
    <row r="506" spans="3:7" x14ac:dyDescent="0.3">
      <c r="C506" s="1"/>
      <c r="D506" s="1"/>
      <c r="E506" s="1"/>
      <c r="F506" s="1"/>
      <c r="G506" s="1"/>
    </row>
    <row r="507" spans="3:7" x14ac:dyDescent="0.3">
      <c r="C507" s="1"/>
      <c r="D507" s="1"/>
      <c r="E507" s="1"/>
      <c r="F507" s="1"/>
      <c r="G507" s="1"/>
    </row>
    <row r="508" spans="3:7" x14ac:dyDescent="0.3">
      <c r="C508" s="1"/>
      <c r="D508" s="1"/>
      <c r="E508" s="1"/>
      <c r="F508" s="1"/>
      <c r="G508" s="1"/>
    </row>
    <row r="509" spans="3:7" x14ac:dyDescent="0.3">
      <c r="C509" s="1"/>
      <c r="D509" s="1"/>
      <c r="E509" s="1"/>
      <c r="F509" s="1"/>
      <c r="G509" s="1"/>
    </row>
    <row r="510" spans="3:7" x14ac:dyDescent="0.3">
      <c r="C510" s="1"/>
      <c r="D510" s="1"/>
      <c r="E510" s="1"/>
      <c r="F510" s="1"/>
      <c r="G510" s="1"/>
    </row>
    <row r="511" spans="3:7" x14ac:dyDescent="0.3">
      <c r="C511" s="1"/>
      <c r="D511" s="1"/>
      <c r="E511" s="1"/>
      <c r="F511" s="1"/>
      <c r="G511" s="1"/>
    </row>
    <row r="512" spans="3:7" x14ac:dyDescent="0.3">
      <c r="C512" s="1"/>
      <c r="D512" s="1"/>
      <c r="E512" s="1"/>
      <c r="F512" s="1"/>
      <c r="G512" s="1"/>
    </row>
    <row r="513" spans="3:7" x14ac:dyDescent="0.3">
      <c r="C513" s="1"/>
      <c r="D513" s="1"/>
      <c r="E513" s="1"/>
      <c r="F513" s="1"/>
      <c r="G513" s="1"/>
    </row>
    <row r="514" spans="3:7" x14ac:dyDescent="0.3">
      <c r="C514" s="1"/>
      <c r="D514" s="1"/>
      <c r="E514" s="1"/>
      <c r="F514" s="1"/>
      <c r="G514" s="1"/>
    </row>
    <row r="515" spans="3:7" x14ac:dyDescent="0.3">
      <c r="C515" s="1"/>
      <c r="D515" s="1"/>
      <c r="E515" s="1"/>
      <c r="F515" s="1"/>
      <c r="G515" s="1"/>
    </row>
    <row r="516" spans="3:7" x14ac:dyDescent="0.3">
      <c r="C516" s="1"/>
      <c r="D516" s="1"/>
      <c r="E516" s="1"/>
      <c r="F516" s="1"/>
      <c r="G516" s="1"/>
    </row>
    <row r="517" spans="3:7" x14ac:dyDescent="0.3">
      <c r="C517" s="1"/>
      <c r="D517" s="1"/>
      <c r="E517" s="1"/>
      <c r="F517" s="1"/>
      <c r="G517" s="1"/>
    </row>
    <row r="518" spans="3:7" x14ac:dyDescent="0.3">
      <c r="C518" s="1"/>
      <c r="D518" s="1"/>
      <c r="E518" s="1"/>
      <c r="F518" s="1"/>
      <c r="G518" s="1"/>
    </row>
    <row r="519" spans="3:7" x14ac:dyDescent="0.3">
      <c r="C519" s="1"/>
      <c r="D519" s="1"/>
      <c r="E519" s="1"/>
      <c r="F519" s="1"/>
      <c r="G519" s="1"/>
    </row>
    <row r="520" spans="3:7" x14ac:dyDescent="0.3">
      <c r="C520" s="1"/>
      <c r="D520" s="1"/>
      <c r="E520" s="1"/>
      <c r="F520" s="1"/>
      <c r="G520" s="1"/>
    </row>
    <row r="521" spans="3:7" x14ac:dyDescent="0.3">
      <c r="C521" s="1"/>
      <c r="D521" s="1"/>
      <c r="E521" s="1"/>
      <c r="F521" s="1"/>
      <c r="G521" s="1"/>
    </row>
    <row r="522" spans="3:7" x14ac:dyDescent="0.3">
      <c r="C522" s="1"/>
      <c r="D522" s="1"/>
      <c r="E522" s="1"/>
      <c r="F522" s="1"/>
      <c r="G522" s="1"/>
    </row>
    <row r="523" spans="3:7" x14ac:dyDescent="0.3">
      <c r="C523" s="1"/>
      <c r="D523" s="1"/>
      <c r="E523" s="1"/>
      <c r="F523" s="1"/>
      <c r="G523" s="1"/>
    </row>
    <row r="524" spans="3:7" x14ac:dyDescent="0.3">
      <c r="C524" s="1"/>
      <c r="D524" s="1"/>
      <c r="E524" s="1"/>
      <c r="F524" s="1"/>
      <c r="G524" s="1"/>
    </row>
    <row r="525" spans="3:7" x14ac:dyDescent="0.3">
      <c r="C525" s="1"/>
      <c r="D525" s="1"/>
      <c r="E525" s="1"/>
      <c r="F525" s="1"/>
      <c r="G525" s="1"/>
    </row>
    <row r="526" spans="3:7" x14ac:dyDescent="0.3">
      <c r="C526" s="1"/>
      <c r="D526" s="1"/>
      <c r="E526" s="1"/>
      <c r="F526" s="1"/>
      <c r="G526" s="1"/>
    </row>
    <row r="527" spans="3:7" x14ac:dyDescent="0.3">
      <c r="C527" s="1"/>
      <c r="D527" s="1"/>
      <c r="E527" s="1"/>
      <c r="F527" s="1"/>
      <c r="G527" s="1"/>
    </row>
    <row r="528" spans="3:7" x14ac:dyDescent="0.3">
      <c r="C528" s="1"/>
      <c r="D528" s="1"/>
      <c r="E528" s="1"/>
      <c r="F528" s="1"/>
      <c r="G528" s="1"/>
    </row>
    <row r="529" spans="3:7" x14ac:dyDescent="0.3">
      <c r="C529" s="1"/>
      <c r="D529" s="1"/>
      <c r="E529" s="1"/>
      <c r="F529" s="1"/>
      <c r="G529" s="1"/>
    </row>
    <row r="530" spans="3:7" x14ac:dyDescent="0.3">
      <c r="C530" s="1"/>
      <c r="D530" s="1"/>
      <c r="E530" s="1"/>
      <c r="F530" s="1"/>
      <c r="G530" s="1"/>
    </row>
    <row r="531" spans="3:7" x14ac:dyDescent="0.3">
      <c r="C531" s="1"/>
      <c r="D531" s="1"/>
      <c r="E531" s="1"/>
      <c r="F531" s="1"/>
      <c r="G531" s="1"/>
    </row>
    <row r="532" spans="3:7" x14ac:dyDescent="0.3">
      <c r="C532" s="1"/>
      <c r="D532" s="1"/>
      <c r="E532" s="1"/>
      <c r="F532" s="1"/>
      <c r="G532" s="1"/>
    </row>
    <row r="533" spans="3:7" x14ac:dyDescent="0.3">
      <c r="C533" s="1"/>
      <c r="D533" s="1"/>
      <c r="E533" s="1"/>
      <c r="F533" s="1"/>
      <c r="G533" s="1"/>
    </row>
    <row r="534" spans="3:7" x14ac:dyDescent="0.3">
      <c r="C534" s="1"/>
      <c r="D534" s="1"/>
      <c r="E534" s="1"/>
      <c r="F534" s="1"/>
      <c r="G534" s="1"/>
    </row>
    <row r="535" spans="3:7" x14ac:dyDescent="0.3">
      <c r="C535" s="1"/>
      <c r="D535" s="1"/>
      <c r="E535" s="1"/>
      <c r="F535" s="1"/>
      <c r="G535" s="1"/>
    </row>
    <row r="536" spans="3:7" x14ac:dyDescent="0.3">
      <c r="C536" s="1"/>
      <c r="D536" s="1"/>
      <c r="E536" s="1"/>
      <c r="F536" s="1"/>
      <c r="G536" s="1"/>
    </row>
    <row r="537" spans="3:7" x14ac:dyDescent="0.3">
      <c r="C537" s="1"/>
      <c r="D537" s="1"/>
      <c r="E537" s="1"/>
      <c r="F537" s="1"/>
      <c r="G537" s="1"/>
    </row>
    <row r="538" spans="3:7" x14ac:dyDescent="0.3">
      <c r="C538" s="1"/>
      <c r="D538" s="1"/>
      <c r="E538" s="1"/>
      <c r="F538" s="1"/>
      <c r="G538" s="1"/>
    </row>
    <row r="539" spans="3:7" x14ac:dyDescent="0.3">
      <c r="C539" s="1"/>
      <c r="D539" s="1"/>
      <c r="E539" s="1"/>
      <c r="F539" s="1"/>
      <c r="G539" s="1"/>
    </row>
    <row r="540" spans="3:7" x14ac:dyDescent="0.3">
      <c r="C540" s="1"/>
      <c r="D540" s="1"/>
      <c r="E540" s="1"/>
      <c r="F540" s="1"/>
      <c r="G540" s="1"/>
    </row>
    <row r="541" spans="3:7" x14ac:dyDescent="0.3">
      <c r="C541" s="1"/>
      <c r="D541" s="1"/>
      <c r="E541" s="1"/>
      <c r="F541" s="1"/>
      <c r="G541" s="1"/>
    </row>
    <row r="542" spans="3:7" x14ac:dyDescent="0.3">
      <c r="C542" s="1"/>
      <c r="D542" s="1"/>
      <c r="E542" s="1"/>
      <c r="F542" s="1"/>
      <c r="G542" s="1"/>
    </row>
    <row r="543" spans="3:7" x14ac:dyDescent="0.3">
      <c r="C543" s="1"/>
      <c r="D543" s="1"/>
      <c r="E543" s="1"/>
      <c r="F543" s="1"/>
      <c r="G543" s="1"/>
    </row>
    <row r="544" spans="3:7" x14ac:dyDescent="0.3">
      <c r="C544" s="1"/>
      <c r="D544" s="1"/>
      <c r="E544" s="1"/>
      <c r="F544" s="1"/>
      <c r="G544" s="1"/>
    </row>
    <row r="545" spans="3:7" x14ac:dyDescent="0.3">
      <c r="C545" s="1"/>
      <c r="D545" s="1"/>
      <c r="E545" s="1"/>
      <c r="F545" s="1"/>
      <c r="G545" s="1"/>
    </row>
    <row r="546" spans="3:7" x14ac:dyDescent="0.3">
      <c r="C546" s="1"/>
      <c r="D546" s="1"/>
      <c r="E546" s="1"/>
      <c r="F546" s="1"/>
      <c r="G546" s="1"/>
    </row>
    <row r="547" spans="3:7" x14ac:dyDescent="0.3">
      <c r="C547" s="1"/>
      <c r="D547" s="1"/>
      <c r="E547" s="1"/>
      <c r="F547" s="1"/>
      <c r="G547" s="1"/>
    </row>
    <row r="548" spans="3:7" x14ac:dyDescent="0.3">
      <c r="C548" s="1"/>
      <c r="D548" s="1"/>
      <c r="E548" s="1"/>
      <c r="F548" s="1"/>
      <c r="G548" s="1"/>
    </row>
    <row r="549" spans="3:7" x14ac:dyDescent="0.3">
      <c r="C549" s="1"/>
      <c r="D549" s="1"/>
      <c r="E549" s="1"/>
      <c r="F549" s="1"/>
      <c r="G549" s="1"/>
    </row>
    <row r="550" spans="3:7" x14ac:dyDescent="0.3">
      <c r="C550" s="1"/>
      <c r="D550" s="1"/>
      <c r="E550" s="1"/>
      <c r="F550" s="1"/>
      <c r="G550" s="1"/>
    </row>
    <row r="551" spans="3:7" x14ac:dyDescent="0.3">
      <c r="C551" s="1"/>
      <c r="D551" s="1"/>
      <c r="E551" s="1"/>
      <c r="F551" s="1"/>
      <c r="G551" s="1"/>
    </row>
    <row r="552" spans="3:7" x14ac:dyDescent="0.3">
      <c r="C552" s="1"/>
      <c r="D552" s="1"/>
      <c r="E552" s="1"/>
      <c r="F552" s="1"/>
      <c r="G552" s="1"/>
    </row>
    <row r="553" spans="3:7" x14ac:dyDescent="0.3">
      <c r="C553" s="1"/>
      <c r="D553" s="1"/>
      <c r="E553" s="1"/>
      <c r="F553" s="1"/>
      <c r="G553" s="1"/>
    </row>
    <row r="554" spans="3:7" x14ac:dyDescent="0.3">
      <c r="C554" s="1"/>
      <c r="D554" s="1"/>
      <c r="E554" s="1"/>
      <c r="F554" s="1"/>
      <c r="G554" s="1"/>
    </row>
    <row r="555" spans="3:7" x14ac:dyDescent="0.3">
      <c r="C555" s="1"/>
      <c r="D555" s="1"/>
      <c r="E555" s="1"/>
      <c r="F555" s="1"/>
      <c r="G555" s="1"/>
    </row>
    <row r="556" spans="3:7" x14ac:dyDescent="0.3">
      <c r="C556" s="1"/>
      <c r="D556" s="1"/>
      <c r="E556" s="1"/>
      <c r="F556" s="1"/>
      <c r="G556" s="1"/>
    </row>
    <row r="557" spans="3:7" x14ac:dyDescent="0.3">
      <c r="C557" s="1"/>
      <c r="D557" s="1"/>
      <c r="E557" s="1"/>
      <c r="F557" s="1"/>
      <c r="G557" s="1"/>
    </row>
    <row r="558" spans="3:7" x14ac:dyDescent="0.3">
      <c r="C558" s="1"/>
      <c r="D558" s="1"/>
      <c r="E558" s="1"/>
      <c r="F558" s="1"/>
      <c r="G558" s="1"/>
    </row>
    <row r="559" spans="3:7" x14ac:dyDescent="0.3">
      <c r="C559" s="1"/>
      <c r="D559" s="1"/>
      <c r="E559" s="1"/>
      <c r="F559" s="1"/>
      <c r="G559" s="1"/>
    </row>
    <row r="560" spans="3:7" x14ac:dyDescent="0.3">
      <c r="C560" s="1"/>
      <c r="D560" s="1"/>
      <c r="E560" s="1"/>
      <c r="F560" s="1"/>
      <c r="G560" s="1"/>
    </row>
    <row r="561" spans="3:7" x14ac:dyDescent="0.3">
      <c r="C561" s="1"/>
      <c r="D561" s="1"/>
      <c r="E561" s="1"/>
      <c r="F561" s="1"/>
      <c r="G561" s="1"/>
    </row>
    <row r="562" spans="3:7" x14ac:dyDescent="0.3">
      <c r="C562" s="1"/>
      <c r="D562" s="1"/>
      <c r="E562" s="1"/>
      <c r="F562" s="1"/>
      <c r="G562" s="1"/>
    </row>
    <row r="563" spans="3:7" x14ac:dyDescent="0.3">
      <c r="C563" s="1"/>
      <c r="D563" s="1"/>
      <c r="E563" s="1"/>
      <c r="F563" s="1"/>
      <c r="G563" s="1"/>
    </row>
    <row r="564" spans="3:7" x14ac:dyDescent="0.3">
      <c r="C564" s="1"/>
      <c r="D564" s="1"/>
      <c r="E564" s="1"/>
      <c r="F564" s="1"/>
      <c r="G564" s="1"/>
    </row>
    <row r="565" spans="3:7" x14ac:dyDescent="0.3">
      <c r="C565" s="1"/>
      <c r="D565" s="1"/>
      <c r="E565" s="1"/>
      <c r="F565" s="1"/>
      <c r="G565" s="1"/>
    </row>
    <row r="566" spans="3:7" x14ac:dyDescent="0.3">
      <c r="C566" s="1"/>
      <c r="D566" s="1"/>
      <c r="E566" s="1"/>
      <c r="F566" s="1"/>
      <c r="G566" s="1"/>
    </row>
    <row r="567" spans="3:7" x14ac:dyDescent="0.3">
      <c r="C567" s="1"/>
      <c r="D567" s="1"/>
      <c r="E567" s="1"/>
      <c r="F567" s="1"/>
      <c r="G567" s="1"/>
    </row>
    <row r="568" spans="3:7" x14ac:dyDescent="0.3">
      <c r="C568" s="1"/>
      <c r="D568" s="1"/>
      <c r="E568" s="1"/>
      <c r="F568" s="1"/>
      <c r="G568" s="1"/>
    </row>
    <row r="569" spans="3:7" x14ac:dyDescent="0.3">
      <c r="C569" s="1"/>
      <c r="D569" s="1"/>
      <c r="E569" s="1"/>
      <c r="F569" s="1"/>
      <c r="G569" s="1"/>
    </row>
    <row r="570" spans="3:7" x14ac:dyDescent="0.3">
      <c r="C570" s="1"/>
      <c r="D570" s="1"/>
      <c r="E570" s="1"/>
      <c r="F570" s="1"/>
      <c r="G570" s="1"/>
    </row>
    <row r="571" spans="3:7" x14ac:dyDescent="0.3">
      <c r="C571" s="1"/>
      <c r="D571" s="1"/>
      <c r="E571" s="1"/>
      <c r="F571" s="1"/>
      <c r="G571" s="1"/>
    </row>
    <row r="572" spans="3:7" x14ac:dyDescent="0.3">
      <c r="C572" s="1"/>
      <c r="D572" s="1"/>
      <c r="E572" s="1"/>
      <c r="F572" s="1"/>
      <c r="G572" s="1"/>
    </row>
    <row r="573" spans="3:7" x14ac:dyDescent="0.3">
      <c r="C573" s="1"/>
      <c r="D573" s="1"/>
      <c r="E573" s="1"/>
      <c r="F573" s="1"/>
      <c r="G573" s="1"/>
    </row>
    <row r="574" spans="3:7" x14ac:dyDescent="0.3">
      <c r="C574" s="1"/>
      <c r="D574" s="1"/>
      <c r="E574" s="1"/>
      <c r="F574" s="1"/>
      <c r="G574" s="1"/>
    </row>
    <row r="575" spans="3:7" x14ac:dyDescent="0.3">
      <c r="C575" s="1"/>
      <c r="D575" s="1"/>
      <c r="E575" s="1"/>
      <c r="F575" s="1"/>
      <c r="G575" s="1"/>
    </row>
    <row r="576" spans="3:7" x14ac:dyDescent="0.3">
      <c r="C576" s="1"/>
      <c r="D576" s="1"/>
      <c r="E576" s="1"/>
      <c r="F576" s="1"/>
      <c r="G576" s="1"/>
    </row>
    <row r="577" spans="3:7" x14ac:dyDescent="0.3">
      <c r="C577" s="1"/>
      <c r="D577" s="1"/>
      <c r="E577" s="1"/>
      <c r="F577" s="1"/>
      <c r="G577" s="1"/>
    </row>
    <row r="578" spans="3:7" x14ac:dyDescent="0.3">
      <c r="C578" s="1"/>
      <c r="D578" s="1"/>
      <c r="E578" s="1"/>
      <c r="F578" s="1"/>
      <c r="G578" s="1"/>
    </row>
    <row r="579" spans="3:7" x14ac:dyDescent="0.3">
      <c r="C579" s="1"/>
      <c r="D579" s="1"/>
      <c r="E579" s="1"/>
      <c r="F579" s="1"/>
      <c r="G579" s="1"/>
    </row>
    <row r="580" spans="3:7" x14ac:dyDescent="0.3">
      <c r="C580" s="1"/>
      <c r="D580" s="1"/>
      <c r="E580" s="1"/>
      <c r="F580" s="1"/>
      <c r="G580" s="1"/>
    </row>
    <row r="581" spans="3:7" x14ac:dyDescent="0.3">
      <c r="C581" s="1"/>
      <c r="D581" s="1"/>
      <c r="E581" s="1"/>
      <c r="F581" s="1"/>
      <c r="G581" s="1"/>
    </row>
    <row r="582" spans="3:7" x14ac:dyDescent="0.3">
      <c r="C582" s="1"/>
      <c r="D582" s="1"/>
      <c r="E582" s="1"/>
      <c r="F582" s="1"/>
      <c r="G582" s="1"/>
    </row>
    <row r="583" spans="3:7" x14ac:dyDescent="0.3">
      <c r="C583" s="1"/>
      <c r="D583" s="1"/>
      <c r="E583" s="1"/>
      <c r="F583" s="1"/>
      <c r="G583" s="1"/>
    </row>
    <row r="584" spans="3:7" x14ac:dyDescent="0.3">
      <c r="C584" s="1"/>
      <c r="D584" s="1"/>
      <c r="E584" s="1"/>
      <c r="F584" s="1"/>
      <c r="G584" s="1"/>
    </row>
    <row r="585" spans="3:7" x14ac:dyDescent="0.3">
      <c r="C585" s="1"/>
      <c r="D585" s="1"/>
      <c r="E585" s="1"/>
      <c r="F585" s="1"/>
      <c r="G585" s="1"/>
    </row>
    <row r="586" spans="3:7" x14ac:dyDescent="0.3">
      <c r="C586" s="1"/>
      <c r="D586" s="1"/>
      <c r="E586" s="1"/>
      <c r="F586" s="1"/>
      <c r="G586" s="1"/>
    </row>
    <row r="587" spans="3:7" x14ac:dyDescent="0.3">
      <c r="C587" s="1"/>
      <c r="D587" s="1"/>
      <c r="E587" s="1"/>
      <c r="F587" s="1"/>
      <c r="G587" s="1"/>
    </row>
    <row r="588" spans="3:7" x14ac:dyDescent="0.3">
      <c r="C588" s="1"/>
      <c r="D588" s="1"/>
      <c r="E588" s="1"/>
      <c r="F588" s="1"/>
      <c r="G588" s="1"/>
    </row>
    <row r="589" spans="3:7" x14ac:dyDescent="0.3">
      <c r="C589" s="1"/>
      <c r="D589" s="1"/>
      <c r="E589" s="1"/>
      <c r="F589" s="1"/>
      <c r="G589" s="1"/>
    </row>
    <row r="590" spans="3:7" x14ac:dyDescent="0.3">
      <c r="C590" s="1"/>
      <c r="D590" s="1"/>
      <c r="E590" s="1"/>
      <c r="F590" s="1"/>
      <c r="G590" s="1"/>
    </row>
    <row r="591" spans="3:7" x14ac:dyDescent="0.3">
      <c r="C591" s="1"/>
      <c r="D591" s="1"/>
      <c r="E591" s="1"/>
      <c r="F591" s="1"/>
      <c r="G591" s="1"/>
    </row>
    <row r="592" spans="3:7" x14ac:dyDescent="0.3">
      <c r="C592" s="1"/>
      <c r="D592" s="1"/>
      <c r="E592" s="1"/>
      <c r="F592" s="1"/>
      <c r="G592" s="1"/>
    </row>
    <row r="593" spans="3:7" x14ac:dyDescent="0.3">
      <c r="C593" s="1"/>
      <c r="D593" s="1"/>
      <c r="E593" s="1"/>
      <c r="F593" s="1"/>
      <c r="G593" s="1"/>
    </row>
    <row r="594" spans="3:7" x14ac:dyDescent="0.3">
      <c r="C594" s="1"/>
      <c r="D594" s="1"/>
      <c r="E594" s="1"/>
      <c r="F594" s="1"/>
      <c r="G594" s="1"/>
    </row>
    <row r="595" spans="3:7" x14ac:dyDescent="0.3">
      <c r="C595" s="1"/>
      <c r="D595" s="1"/>
      <c r="E595" s="1"/>
      <c r="F595" s="1"/>
      <c r="G595" s="1"/>
    </row>
    <row r="596" spans="3:7" x14ac:dyDescent="0.3">
      <c r="C596" s="1"/>
      <c r="D596" s="1"/>
      <c r="E596" s="1"/>
      <c r="F596" s="1"/>
      <c r="G596" s="1"/>
    </row>
    <row r="597" spans="3:7" x14ac:dyDescent="0.3">
      <c r="C597" s="1"/>
      <c r="D597" s="1"/>
      <c r="E597" s="1"/>
      <c r="F597" s="1"/>
      <c r="G597" s="1"/>
    </row>
    <row r="598" spans="3:7" x14ac:dyDescent="0.3">
      <c r="C598" s="1"/>
      <c r="D598" s="1"/>
      <c r="E598" s="1"/>
      <c r="F598" s="1"/>
      <c r="G598" s="1"/>
    </row>
    <row r="599" spans="3:7" x14ac:dyDescent="0.3">
      <c r="C599" s="1"/>
      <c r="D599" s="1"/>
      <c r="E599" s="1"/>
      <c r="F599" s="1"/>
      <c r="G599" s="1"/>
    </row>
    <row r="600" spans="3:7" x14ac:dyDescent="0.3">
      <c r="C600" s="1"/>
      <c r="D600" s="1"/>
      <c r="E600" s="1"/>
      <c r="F600" s="1"/>
      <c r="G600" s="1"/>
    </row>
    <row r="601" spans="3:7" x14ac:dyDescent="0.3">
      <c r="C601" s="1"/>
      <c r="D601" s="1"/>
      <c r="E601" s="1"/>
      <c r="F601" s="1"/>
      <c r="G601" s="1"/>
    </row>
    <row r="602" spans="3:7" x14ac:dyDescent="0.3">
      <c r="C602" s="1"/>
      <c r="D602" s="1"/>
      <c r="E602" s="1"/>
      <c r="F602" s="1"/>
      <c r="G602" s="1"/>
    </row>
    <row r="603" spans="3:7" x14ac:dyDescent="0.3">
      <c r="C603" s="1"/>
      <c r="D603" s="1"/>
      <c r="E603" s="1"/>
      <c r="F603" s="1"/>
      <c r="G603" s="1"/>
    </row>
    <row r="604" spans="3:7" x14ac:dyDescent="0.3">
      <c r="C604" s="1"/>
      <c r="D604" s="1"/>
      <c r="E604" s="1"/>
      <c r="F604" s="1"/>
      <c r="G604" s="1"/>
    </row>
    <row r="605" spans="3:7" x14ac:dyDescent="0.3">
      <c r="C605" s="1"/>
      <c r="D605" s="1"/>
      <c r="E605" s="1"/>
      <c r="F605" s="1"/>
      <c r="G605" s="1"/>
    </row>
    <row r="606" spans="3:7" x14ac:dyDescent="0.3">
      <c r="C606" s="1"/>
      <c r="D606" s="1"/>
      <c r="E606" s="1"/>
      <c r="F606" s="1"/>
      <c r="G606" s="1"/>
    </row>
    <row r="607" spans="3:7" x14ac:dyDescent="0.3">
      <c r="C607" s="1"/>
      <c r="D607" s="1"/>
      <c r="E607" s="1"/>
      <c r="F607" s="1"/>
      <c r="G607" s="1"/>
    </row>
    <row r="608" spans="3:7" x14ac:dyDescent="0.3">
      <c r="C608" s="1"/>
      <c r="D608" s="1"/>
      <c r="E608" s="1"/>
      <c r="F608" s="1"/>
      <c r="G608" s="1"/>
    </row>
    <row r="609" spans="3:7" x14ac:dyDescent="0.3">
      <c r="C609" s="1"/>
      <c r="D609" s="1"/>
      <c r="E609" s="1"/>
      <c r="F609" s="1"/>
      <c r="G609" s="1"/>
    </row>
    <row r="610" spans="3:7" x14ac:dyDescent="0.3">
      <c r="C610" s="1"/>
      <c r="D610" s="1"/>
      <c r="E610" s="1"/>
      <c r="F610" s="1"/>
      <c r="G610" s="1"/>
    </row>
    <row r="611" spans="3:7" x14ac:dyDescent="0.3">
      <c r="C611" s="1"/>
      <c r="D611" s="1"/>
      <c r="E611" s="1"/>
      <c r="F611" s="1"/>
      <c r="G611" s="1"/>
    </row>
    <row r="612" spans="3:7" x14ac:dyDescent="0.3">
      <c r="C612" s="1"/>
      <c r="D612" s="1"/>
      <c r="E612" s="1"/>
      <c r="F612" s="1"/>
      <c r="G612" s="1"/>
    </row>
    <row r="613" spans="3:7" x14ac:dyDescent="0.3">
      <c r="C613" s="1"/>
      <c r="D613" s="1"/>
      <c r="E613" s="1"/>
      <c r="F613" s="1"/>
      <c r="G613" s="1"/>
    </row>
    <row r="614" spans="3:7" x14ac:dyDescent="0.3">
      <c r="C614" s="1"/>
      <c r="D614" s="1"/>
      <c r="E614" s="1"/>
      <c r="F614" s="1"/>
      <c r="G614" s="1"/>
    </row>
    <row r="615" spans="3:7" x14ac:dyDescent="0.3">
      <c r="C615" s="1"/>
      <c r="D615" s="1"/>
      <c r="E615" s="1"/>
      <c r="F615" s="1"/>
      <c r="G615" s="1"/>
    </row>
    <row r="616" spans="3:7" x14ac:dyDescent="0.3">
      <c r="C616" s="1"/>
      <c r="D616" s="1"/>
      <c r="E616" s="1"/>
      <c r="F616" s="1"/>
      <c r="G616" s="1"/>
    </row>
    <row r="617" spans="3:7" x14ac:dyDescent="0.3">
      <c r="C617" s="1"/>
      <c r="D617" s="1"/>
      <c r="E617" s="1"/>
      <c r="F617" s="1"/>
      <c r="G617" s="1"/>
    </row>
    <row r="618" spans="3:7" x14ac:dyDescent="0.3">
      <c r="C618" s="1"/>
      <c r="D618" s="1"/>
      <c r="E618" s="1"/>
      <c r="F618" s="1"/>
      <c r="G618" s="1"/>
    </row>
    <row r="619" spans="3:7" x14ac:dyDescent="0.3">
      <c r="C619" s="1"/>
      <c r="D619" s="1"/>
      <c r="E619" s="1"/>
      <c r="F619" s="1"/>
      <c r="G619" s="1"/>
    </row>
    <row r="620" spans="3:7" x14ac:dyDescent="0.3">
      <c r="C620" s="1"/>
      <c r="D620" s="1"/>
      <c r="E620" s="1"/>
      <c r="F620" s="1"/>
      <c r="G620" s="1"/>
    </row>
    <row r="621" spans="3:7" x14ac:dyDescent="0.3">
      <c r="C621" s="1"/>
      <c r="D621" s="1"/>
      <c r="E621" s="1"/>
      <c r="F621" s="1"/>
      <c r="G621" s="1"/>
    </row>
    <row r="622" spans="3:7" x14ac:dyDescent="0.3">
      <c r="C622" s="1"/>
      <c r="D622" s="1"/>
      <c r="E622" s="1"/>
      <c r="F622" s="1"/>
      <c r="G622" s="1"/>
    </row>
    <row r="623" spans="3:7" x14ac:dyDescent="0.3">
      <c r="C623" s="1"/>
      <c r="D623" s="1"/>
      <c r="E623" s="1"/>
      <c r="F623" s="1"/>
      <c r="G623" s="1"/>
    </row>
    <row r="624" spans="3:7" x14ac:dyDescent="0.3">
      <c r="C624" s="1"/>
      <c r="D624" s="1"/>
      <c r="E624" s="1"/>
      <c r="F624" s="1"/>
      <c r="G624" s="1"/>
    </row>
    <row r="625" spans="3:7" x14ac:dyDescent="0.3">
      <c r="C625" s="1"/>
      <c r="D625" s="1"/>
      <c r="E625" s="1"/>
      <c r="F625" s="1"/>
      <c r="G625" s="1"/>
    </row>
    <row r="626" spans="3:7" x14ac:dyDescent="0.3">
      <c r="C626" s="1"/>
      <c r="D626" s="1"/>
      <c r="E626" s="1"/>
      <c r="F626" s="1"/>
      <c r="G626" s="1"/>
    </row>
    <row r="627" spans="3:7" x14ac:dyDescent="0.3">
      <c r="C627" s="1"/>
      <c r="D627" s="1"/>
      <c r="E627" s="1"/>
      <c r="F627" s="1"/>
      <c r="G627" s="1"/>
    </row>
    <row r="628" spans="3:7" x14ac:dyDescent="0.3">
      <c r="C628" s="1"/>
      <c r="D628" s="1"/>
      <c r="E628" s="1"/>
      <c r="F628" s="1"/>
      <c r="G628" s="1"/>
    </row>
    <row r="629" spans="3:7" x14ac:dyDescent="0.3">
      <c r="C629" s="1"/>
      <c r="D629" s="1"/>
      <c r="E629" s="1"/>
      <c r="F629" s="1"/>
      <c r="G629" s="1"/>
    </row>
    <row r="630" spans="3:7" x14ac:dyDescent="0.3">
      <c r="C630" s="1"/>
      <c r="D630" s="1"/>
      <c r="E630" s="1"/>
      <c r="F630" s="1"/>
      <c r="G630" s="1"/>
    </row>
    <row r="631" spans="3:7" x14ac:dyDescent="0.3">
      <c r="C631" s="1"/>
      <c r="D631" s="1"/>
      <c r="E631" s="1"/>
      <c r="F631" s="1"/>
      <c r="G631" s="1"/>
    </row>
    <row r="632" spans="3:7" x14ac:dyDescent="0.3">
      <c r="C632" s="1"/>
      <c r="D632" s="1"/>
      <c r="E632" s="1"/>
      <c r="F632" s="1"/>
      <c r="G632" s="1"/>
    </row>
    <row r="633" spans="3:7" x14ac:dyDescent="0.3">
      <c r="C633" s="1"/>
      <c r="D633" s="1"/>
      <c r="E633" s="1"/>
      <c r="F633" s="1"/>
      <c r="G633" s="1"/>
    </row>
    <row r="634" spans="3:7" x14ac:dyDescent="0.3">
      <c r="C634" s="1"/>
      <c r="D634" s="1"/>
      <c r="E634" s="1"/>
      <c r="F634" s="1"/>
      <c r="G634" s="1"/>
    </row>
    <row r="635" spans="3:7" x14ac:dyDescent="0.3">
      <c r="C635" s="1"/>
      <c r="D635" s="1"/>
      <c r="E635" s="1"/>
      <c r="F635" s="1"/>
      <c r="G635" s="1"/>
    </row>
    <row r="636" spans="3:7" x14ac:dyDescent="0.3">
      <c r="C636" s="1"/>
      <c r="D636" s="1"/>
      <c r="E636" s="1"/>
      <c r="F636" s="1"/>
      <c r="G636" s="1"/>
    </row>
    <row r="637" spans="3:7" x14ac:dyDescent="0.3">
      <c r="C637" s="1"/>
      <c r="D637" s="1"/>
      <c r="E637" s="1"/>
      <c r="F637" s="1"/>
      <c r="G637" s="1"/>
    </row>
    <row r="638" spans="3:7" x14ac:dyDescent="0.3">
      <c r="C638" s="1"/>
      <c r="D638" s="1"/>
      <c r="E638" s="1"/>
      <c r="F638" s="1"/>
      <c r="G638" s="1"/>
    </row>
    <row r="639" spans="3:7" x14ac:dyDescent="0.3">
      <c r="C639" s="1"/>
      <c r="D639" s="1"/>
      <c r="E639" s="1"/>
      <c r="F639" s="1"/>
      <c r="G639" s="1"/>
    </row>
    <row r="640" spans="3:7" x14ac:dyDescent="0.3">
      <c r="C640" s="1"/>
      <c r="D640" s="1"/>
      <c r="E640" s="1"/>
      <c r="F640" s="1"/>
      <c r="G640" s="1"/>
    </row>
    <row r="641" spans="3:7" x14ac:dyDescent="0.3">
      <c r="C641" s="1"/>
      <c r="D641" s="1"/>
      <c r="E641" s="1"/>
      <c r="F641" s="1"/>
      <c r="G641" s="1"/>
    </row>
    <row r="642" spans="3:7" x14ac:dyDescent="0.3">
      <c r="C642" s="1"/>
      <c r="D642" s="1"/>
      <c r="E642" s="1"/>
      <c r="F642" s="1"/>
      <c r="G642" s="1"/>
    </row>
    <row r="643" spans="3:7" x14ac:dyDescent="0.3">
      <c r="C643" s="1"/>
      <c r="D643" s="1"/>
      <c r="E643" s="1"/>
      <c r="F643" s="1"/>
      <c r="G643" s="1"/>
    </row>
    <row r="644" spans="3:7" x14ac:dyDescent="0.3">
      <c r="C644" s="1"/>
      <c r="D644" s="1"/>
      <c r="E644" s="1"/>
      <c r="F644" s="1"/>
      <c r="G644" s="1"/>
    </row>
    <row r="645" spans="3:7" x14ac:dyDescent="0.3">
      <c r="C645" s="1"/>
      <c r="D645" s="1"/>
      <c r="E645" s="1"/>
      <c r="F645" s="1"/>
      <c r="G645" s="1"/>
    </row>
    <row r="646" spans="3:7" x14ac:dyDescent="0.3">
      <c r="C646" s="1"/>
      <c r="D646" s="1"/>
      <c r="E646" s="1"/>
      <c r="F646" s="1"/>
      <c r="G646" s="1"/>
    </row>
    <row r="647" spans="3:7" x14ac:dyDescent="0.3">
      <c r="C647" s="1"/>
      <c r="D647" s="1"/>
      <c r="E647" s="1"/>
      <c r="F647" s="1"/>
      <c r="G647" s="1"/>
    </row>
    <row r="648" spans="3:7" x14ac:dyDescent="0.3">
      <c r="C648" s="1"/>
      <c r="D648" s="1"/>
      <c r="E648" s="1"/>
      <c r="F648" s="1"/>
      <c r="G648" s="1"/>
    </row>
    <row r="649" spans="3:7" x14ac:dyDescent="0.3">
      <c r="C649" s="1"/>
      <c r="D649" s="1"/>
      <c r="E649" s="1"/>
      <c r="F649" s="1"/>
      <c r="G649" s="1"/>
    </row>
    <row r="650" spans="3:7" x14ac:dyDescent="0.3">
      <c r="C650" s="1"/>
      <c r="D650" s="1"/>
      <c r="E650" s="1"/>
      <c r="F650" s="1"/>
      <c r="G650" s="1"/>
    </row>
    <row r="651" spans="3:7" x14ac:dyDescent="0.3">
      <c r="C651" s="1"/>
      <c r="D651" s="1"/>
      <c r="E651" s="1"/>
      <c r="F651" s="1"/>
      <c r="G651" s="1"/>
    </row>
    <row r="652" spans="3:7" x14ac:dyDescent="0.3">
      <c r="C652" s="1"/>
      <c r="D652" s="1"/>
      <c r="E652" s="1"/>
      <c r="F652" s="1"/>
      <c r="G652" s="1"/>
    </row>
    <row r="653" spans="3:7" x14ac:dyDescent="0.3">
      <c r="C653" s="1"/>
      <c r="D653" s="1"/>
      <c r="E653" s="1"/>
      <c r="F653" s="1"/>
      <c r="G653" s="1"/>
    </row>
    <row r="654" spans="3:7" x14ac:dyDescent="0.3">
      <c r="C654" s="1"/>
      <c r="D654" s="1"/>
      <c r="E654" s="1"/>
      <c r="F654" s="1"/>
      <c r="G654" s="1"/>
    </row>
    <row r="655" spans="3:7" x14ac:dyDescent="0.3">
      <c r="C655" s="1"/>
      <c r="D655" s="1"/>
      <c r="E655" s="1"/>
      <c r="F655" s="1"/>
      <c r="G655" s="1"/>
    </row>
    <row r="656" spans="3:7" x14ac:dyDescent="0.3">
      <c r="C656" s="1"/>
      <c r="D656" s="1"/>
      <c r="E656" s="1"/>
      <c r="F656" s="1"/>
      <c r="G656" s="1"/>
    </row>
    <row r="657" spans="3:7" x14ac:dyDescent="0.3">
      <c r="C657" s="1"/>
      <c r="D657" s="1"/>
      <c r="E657" s="1"/>
      <c r="F657" s="1"/>
      <c r="G657" s="1"/>
    </row>
    <row r="658" spans="3:7" x14ac:dyDescent="0.3">
      <c r="C658" s="1"/>
      <c r="D658" s="1"/>
      <c r="E658" s="1"/>
      <c r="F658" s="1"/>
      <c r="G658" s="1"/>
    </row>
    <row r="659" spans="3:7" x14ac:dyDescent="0.3">
      <c r="C659" s="1"/>
      <c r="D659" s="1"/>
      <c r="E659" s="1"/>
      <c r="F659" s="1"/>
      <c r="G659" s="1"/>
    </row>
    <row r="660" spans="3:7" x14ac:dyDescent="0.3">
      <c r="C660" s="1"/>
      <c r="D660" s="1"/>
      <c r="E660" s="1"/>
      <c r="F660" s="1"/>
      <c r="G660" s="1"/>
    </row>
    <row r="661" spans="3:7" x14ac:dyDescent="0.3">
      <c r="C661" s="1"/>
      <c r="D661" s="1"/>
      <c r="E661" s="1"/>
      <c r="F661" s="1"/>
      <c r="G661" s="1"/>
    </row>
    <row r="662" spans="3:7" x14ac:dyDescent="0.3">
      <c r="C662" s="1"/>
      <c r="D662" s="1"/>
      <c r="E662" s="1"/>
      <c r="F662" s="1"/>
      <c r="G662" s="1"/>
    </row>
    <row r="663" spans="3:7" x14ac:dyDescent="0.3">
      <c r="C663" s="1"/>
      <c r="D663" s="1"/>
      <c r="E663" s="1"/>
      <c r="F663" s="1"/>
      <c r="G663" s="1"/>
    </row>
    <row r="664" spans="3:7" x14ac:dyDescent="0.3">
      <c r="C664" s="1"/>
      <c r="D664" s="1"/>
      <c r="E664" s="1"/>
      <c r="F664" s="1"/>
      <c r="G664" s="1"/>
    </row>
    <row r="665" spans="3:7" x14ac:dyDescent="0.3">
      <c r="C665" s="1"/>
      <c r="D665" s="1"/>
      <c r="E665" s="1"/>
      <c r="F665" s="1"/>
      <c r="G665" s="1"/>
    </row>
    <row r="666" spans="3:7" x14ac:dyDescent="0.3">
      <c r="C666" s="1"/>
      <c r="D666" s="1"/>
      <c r="E666" s="1"/>
      <c r="F666" s="1"/>
      <c r="G666" s="1"/>
    </row>
    <row r="667" spans="3:7" x14ac:dyDescent="0.3">
      <c r="C667" s="1"/>
      <c r="D667" s="1"/>
      <c r="E667" s="1"/>
      <c r="F667" s="1"/>
      <c r="G667" s="1"/>
    </row>
    <row r="668" spans="3:7" x14ac:dyDescent="0.3">
      <c r="C668" s="1"/>
      <c r="D668" s="1"/>
      <c r="E668" s="1"/>
      <c r="F668" s="1"/>
      <c r="G668" s="1"/>
    </row>
    <row r="669" spans="3:7" x14ac:dyDescent="0.3">
      <c r="C669" s="1"/>
      <c r="D669" s="1"/>
      <c r="E669" s="1"/>
      <c r="F669" s="1"/>
      <c r="G669" s="1"/>
    </row>
    <row r="670" spans="3:7" x14ac:dyDescent="0.3">
      <c r="C670" s="1"/>
      <c r="D670" s="1"/>
      <c r="E670" s="1"/>
      <c r="F670" s="1"/>
      <c r="G670" s="1"/>
    </row>
    <row r="671" spans="3:7" x14ac:dyDescent="0.3">
      <c r="C671" s="1"/>
      <c r="D671" s="1"/>
      <c r="E671" s="1"/>
      <c r="F671" s="1"/>
      <c r="G671" s="1"/>
    </row>
    <row r="672" spans="3:7" x14ac:dyDescent="0.3">
      <c r="C672" s="1"/>
      <c r="D672" s="1"/>
      <c r="E672" s="1"/>
      <c r="F672" s="1"/>
      <c r="G672" s="1"/>
    </row>
    <row r="673" spans="3:7" x14ac:dyDescent="0.3">
      <c r="C673" s="1"/>
      <c r="D673" s="1"/>
      <c r="E673" s="1"/>
      <c r="F673" s="1"/>
      <c r="G673" s="1"/>
    </row>
    <row r="674" spans="3:7" x14ac:dyDescent="0.3">
      <c r="C674" s="1"/>
      <c r="D674" s="1"/>
      <c r="E674" s="1"/>
      <c r="F674" s="1"/>
      <c r="G674" s="1"/>
    </row>
    <row r="675" spans="3:7" x14ac:dyDescent="0.3">
      <c r="C675" s="1"/>
      <c r="D675" s="1"/>
      <c r="E675" s="1"/>
      <c r="F675" s="1"/>
      <c r="G675" s="1"/>
    </row>
    <row r="676" spans="3:7" x14ac:dyDescent="0.3">
      <c r="C676" s="1"/>
      <c r="D676" s="1"/>
      <c r="E676" s="1"/>
      <c r="F676" s="1"/>
      <c r="G676" s="1"/>
    </row>
    <row r="677" spans="3:7" x14ac:dyDescent="0.3">
      <c r="C677" s="1"/>
      <c r="D677" s="1"/>
      <c r="E677" s="1"/>
      <c r="F677" s="1"/>
      <c r="G677" s="1"/>
    </row>
    <row r="678" spans="3:7" x14ac:dyDescent="0.3">
      <c r="C678" s="1"/>
      <c r="D678" s="1"/>
      <c r="E678" s="1"/>
      <c r="F678" s="1"/>
      <c r="G678" s="1"/>
    </row>
    <row r="679" spans="3:7" x14ac:dyDescent="0.3">
      <c r="C679" s="1"/>
      <c r="D679" s="1"/>
      <c r="E679" s="1"/>
      <c r="F679" s="1"/>
      <c r="G679" s="1"/>
    </row>
    <row r="680" spans="3:7" x14ac:dyDescent="0.3">
      <c r="C680" s="1"/>
      <c r="D680" s="1"/>
      <c r="E680" s="1"/>
      <c r="F680" s="1"/>
      <c r="G680" s="1"/>
    </row>
    <row r="681" spans="3:7" x14ac:dyDescent="0.3">
      <c r="C681" s="1"/>
      <c r="D681" s="1"/>
      <c r="E681" s="1"/>
      <c r="F681" s="1"/>
      <c r="G681" s="1"/>
    </row>
    <row r="682" spans="3:7" x14ac:dyDescent="0.3">
      <c r="C682" s="1"/>
      <c r="D682" s="1"/>
      <c r="E682" s="1"/>
      <c r="F682" s="1"/>
      <c r="G682" s="1"/>
    </row>
    <row r="683" spans="3:7" x14ac:dyDescent="0.3">
      <c r="C683" s="1"/>
      <c r="D683" s="1"/>
      <c r="E683" s="1"/>
      <c r="F683" s="1"/>
      <c r="G683" s="1"/>
    </row>
    <row r="684" spans="3:7" x14ac:dyDescent="0.3">
      <c r="C684" s="1"/>
      <c r="D684" s="1"/>
      <c r="E684" s="1"/>
      <c r="F684" s="1"/>
      <c r="G684" s="1"/>
    </row>
    <row r="685" spans="3:7" x14ac:dyDescent="0.3">
      <c r="C685" s="1"/>
      <c r="D685" s="1"/>
      <c r="E685" s="1"/>
      <c r="F685" s="1"/>
      <c r="G685" s="1"/>
    </row>
    <row r="686" spans="3:7" x14ac:dyDescent="0.3">
      <c r="C686" s="1"/>
      <c r="D686" s="1"/>
      <c r="E686" s="1"/>
      <c r="F686" s="1"/>
      <c r="G686" s="1"/>
    </row>
    <row r="687" spans="3:7" x14ac:dyDescent="0.3">
      <c r="C687" s="1"/>
      <c r="D687" s="1"/>
      <c r="E687" s="1"/>
      <c r="F687" s="1"/>
      <c r="G687" s="1"/>
    </row>
    <row r="688" spans="3:7" x14ac:dyDescent="0.3">
      <c r="C688" s="1"/>
      <c r="D688" s="1"/>
      <c r="E688" s="1"/>
      <c r="F688" s="1"/>
      <c r="G688" s="1"/>
    </row>
    <row r="689" spans="3:7" x14ac:dyDescent="0.3">
      <c r="C689" s="1"/>
      <c r="D689" s="1"/>
      <c r="E689" s="1"/>
      <c r="F689" s="1"/>
      <c r="G689" s="1"/>
    </row>
    <row r="690" spans="3:7" x14ac:dyDescent="0.3">
      <c r="C690" s="1"/>
      <c r="D690" s="1"/>
      <c r="E690" s="1"/>
      <c r="F690" s="1"/>
      <c r="G690" s="1"/>
    </row>
    <row r="691" spans="3:7" x14ac:dyDescent="0.3">
      <c r="C691" s="1"/>
      <c r="D691" s="1"/>
      <c r="E691" s="1"/>
      <c r="F691" s="1"/>
      <c r="G691" s="1"/>
    </row>
    <row r="692" spans="3:7" x14ac:dyDescent="0.3">
      <c r="C692" s="1"/>
      <c r="D692" s="1"/>
      <c r="E692" s="1"/>
      <c r="F692" s="1"/>
      <c r="G692" s="1"/>
    </row>
    <row r="693" spans="3:7" x14ac:dyDescent="0.3">
      <c r="C693" s="1"/>
      <c r="D693" s="1"/>
      <c r="E693" s="1"/>
      <c r="F693" s="1"/>
      <c r="G693" s="1"/>
    </row>
    <row r="694" spans="3:7" x14ac:dyDescent="0.3">
      <c r="C694" s="1"/>
      <c r="D694" s="1"/>
      <c r="E694" s="1"/>
      <c r="F694" s="1"/>
      <c r="G694" s="1"/>
    </row>
    <row r="695" spans="3:7" x14ac:dyDescent="0.3">
      <c r="C695" s="1"/>
      <c r="D695" s="1"/>
      <c r="E695" s="1"/>
      <c r="F695" s="1"/>
      <c r="G695" s="1"/>
    </row>
    <row r="696" spans="3:7" x14ac:dyDescent="0.3">
      <c r="C696" s="1"/>
      <c r="D696" s="1"/>
      <c r="E696" s="1"/>
      <c r="F696" s="1"/>
      <c r="G696" s="1"/>
    </row>
    <row r="697" spans="3:7" x14ac:dyDescent="0.3">
      <c r="C697" s="1"/>
      <c r="D697" s="1"/>
      <c r="E697" s="1"/>
      <c r="F697" s="1"/>
      <c r="G697" s="1"/>
    </row>
    <row r="698" spans="3:7" x14ac:dyDescent="0.3">
      <c r="C698" s="1"/>
      <c r="D698" s="1"/>
      <c r="E698" s="1"/>
      <c r="F698" s="1"/>
      <c r="G698" s="1"/>
    </row>
    <row r="699" spans="3:7" x14ac:dyDescent="0.3">
      <c r="C699" s="1"/>
      <c r="D699" s="1"/>
      <c r="E699" s="1"/>
      <c r="F699" s="1"/>
      <c r="G699" s="1"/>
    </row>
    <row r="700" spans="3:7" x14ac:dyDescent="0.3">
      <c r="C700" s="1"/>
      <c r="D700" s="1"/>
      <c r="E700" s="1"/>
      <c r="F700" s="1"/>
      <c r="G700" s="1"/>
    </row>
    <row r="701" spans="3:7" x14ac:dyDescent="0.3">
      <c r="C701" s="1"/>
      <c r="D701" s="1"/>
      <c r="E701" s="1"/>
      <c r="F701" s="1"/>
      <c r="G701" s="1"/>
    </row>
    <row r="702" spans="3:7" x14ac:dyDescent="0.3">
      <c r="C702" s="1"/>
      <c r="D702" s="1"/>
      <c r="E702" s="1"/>
      <c r="F702" s="1"/>
      <c r="G702" s="1"/>
    </row>
    <row r="703" spans="3:7" x14ac:dyDescent="0.3">
      <c r="C703" s="1"/>
      <c r="D703" s="1"/>
      <c r="E703" s="1"/>
      <c r="F703" s="1"/>
      <c r="G703" s="1"/>
    </row>
    <row r="704" spans="3:7" x14ac:dyDescent="0.3">
      <c r="C704" s="1"/>
      <c r="D704" s="1"/>
      <c r="E704" s="1"/>
      <c r="F704" s="1"/>
      <c r="G704" s="1"/>
    </row>
    <row r="705" spans="3:7" x14ac:dyDescent="0.3">
      <c r="C705" s="1"/>
      <c r="D705" s="1"/>
      <c r="E705" s="1"/>
      <c r="F705" s="1"/>
      <c r="G705" s="1"/>
    </row>
    <row r="706" spans="3:7" x14ac:dyDescent="0.3">
      <c r="C706" s="1"/>
      <c r="D706" s="1"/>
      <c r="E706" s="1"/>
      <c r="F706" s="1"/>
      <c r="G706" s="1"/>
    </row>
    <row r="707" spans="3:7" x14ac:dyDescent="0.3">
      <c r="C707" s="1"/>
      <c r="D707" s="1"/>
      <c r="E707" s="1"/>
      <c r="F707" s="1"/>
      <c r="G707" s="1"/>
    </row>
    <row r="708" spans="3:7" x14ac:dyDescent="0.3">
      <c r="C708" s="1"/>
      <c r="D708" s="1"/>
      <c r="E708" s="1"/>
      <c r="F708" s="1"/>
      <c r="G708" s="1"/>
    </row>
    <row r="709" spans="3:7" x14ac:dyDescent="0.3">
      <c r="C709" s="1"/>
      <c r="D709" s="1"/>
      <c r="E709" s="1"/>
      <c r="F709" s="1"/>
      <c r="G709" s="1"/>
    </row>
    <row r="710" spans="3:7" x14ac:dyDescent="0.3">
      <c r="C710" s="1"/>
      <c r="D710" s="1"/>
      <c r="E710" s="1"/>
      <c r="F710" s="1"/>
      <c r="G710" s="1"/>
    </row>
    <row r="711" spans="3:7" x14ac:dyDescent="0.3">
      <c r="C711" s="1"/>
      <c r="D711" s="1"/>
      <c r="E711" s="1"/>
      <c r="F711" s="1"/>
      <c r="G711" s="1"/>
    </row>
    <row r="712" spans="3:7" x14ac:dyDescent="0.3">
      <c r="C712" s="1"/>
      <c r="D712" s="1"/>
      <c r="E712" s="1"/>
      <c r="F712" s="1"/>
      <c r="G712" s="1"/>
    </row>
    <row r="713" spans="3:7" x14ac:dyDescent="0.3">
      <c r="C713" s="1"/>
      <c r="D713" s="1"/>
      <c r="E713" s="1"/>
      <c r="F713" s="1"/>
      <c r="G713" s="1"/>
    </row>
    <row r="714" spans="3:7" x14ac:dyDescent="0.3">
      <c r="C714" s="1"/>
      <c r="D714" s="1"/>
      <c r="E714" s="1"/>
      <c r="F714" s="1"/>
      <c r="G714" s="1"/>
    </row>
    <row r="715" spans="3:7" x14ac:dyDescent="0.3">
      <c r="C715" s="1"/>
      <c r="D715" s="1"/>
      <c r="E715" s="1"/>
      <c r="F715" s="1"/>
      <c r="G715" s="1"/>
    </row>
    <row r="716" spans="3:7" x14ac:dyDescent="0.3">
      <c r="C716" s="1"/>
      <c r="D716" s="1"/>
      <c r="E716" s="1"/>
      <c r="F716" s="1"/>
      <c r="G716" s="1"/>
    </row>
    <row r="717" spans="3:7" x14ac:dyDescent="0.3">
      <c r="C717" s="1"/>
      <c r="D717" s="1"/>
      <c r="E717" s="1"/>
      <c r="F717" s="1"/>
      <c r="G717" s="1"/>
    </row>
    <row r="718" spans="3:7" x14ac:dyDescent="0.3">
      <c r="C718" s="1"/>
      <c r="D718" s="1"/>
      <c r="E718" s="1"/>
      <c r="F718" s="1"/>
      <c r="G718" s="1"/>
    </row>
    <row r="719" spans="3:7" x14ac:dyDescent="0.3">
      <c r="C719" s="1"/>
      <c r="D719" s="1"/>
      <c r="E719" s="1"/>
      <c r="F719" s="1"/>
      <c r="G719" s="1"/>
    </row>
    <row r="720" spans="3:7" x14ac:dyDescent="0.3">
      <c r="C720" s="1"/>
      <c r="D720" s="1"/>
      <c r="E720" s="1"/>
      <c r="F720" s="1"/>
      <c r="G720" s="1"/>
    </row>
    <row r="721" spans="3:7" x14ac:dyDescent="0.3">
      <c r="C721" s="1"/>
      <c r="D721" s="1"/>
      <c r="E721" s="1"/>
      <c r="F721" s="1"/>
      <c r="G721" s="1"/>
    </row>
    <row r="722" spans="3:7" x14ac:dyDescent="0.3">
      <c r="C722" s="1"/>
      <c r="D722" s="1"/>
      <c r="E722" s="1"/>
      <c r="F722" s="1"/>
      <c r="G722" s="1"/>
    </row>
    <row r="723" spans="3:7" x14ac:dyDescent="0.3">
      <c r="C723" s="1"/>
      <c r="D723" s="1"/>
      <c r="E723" s="1"/>
      <c r="F723" s="1"/>
      <c r="G723" s="1"/>
    </row>
    <row r="724" spans="3:7" x14ac:dyDescent="0.3">
      <c r="C724" s="1"/>
      <c r="D724" s="1"/>
      <c r="E724" s="1"/>
      <c r="F724" s="1"/>
      <c r="G724" s="1"/>
    </row>
    <row r="725" spans="3:7" x14ac:dyDescent="0.3">
      <c r="C725" s="1"/>
      <c r="D725" s="1"/>
      <c r="E725" s="1"/>
      <c r="F725" s="1"/>
      <c r="G725" s="1"/>
    </row>
    <row r="726" spans="3:7" x14ac:dyDescent="0.3">
      <c r="C726" s="1"/>
      <c r="D726" s="1"/>
      <c r="E726" s="1"/>
      <c r="F726" s="1"/>
      <c r="G726" s="1"/>
    </row>
    <row r="727" spans="3:7" x14ac:dyDescent="0.3">
      <c r="C727" s="1"/>
      <c r="D727" s="1"/>
      <c r="E727" s="1"/>
      <c r="F727" s="1"/>
      <c r="G727" s="1"/>
    </row>
    <row r="728" spans="3:7" x14ac:dyDescent="0.3">
      <c r="C728" s="1"/>
      <c r="D728" s="1"/>
      <c r="E728" s="1"/>
      <c r="F728" s="1"/>
      <c r="G728" s="1"/>
    </row>
    <row r="729" spans="3:7" x14ac:dyDescent="0.3">
      <c r="C729" s="1"/>
      <c r="D729" s="1"/>
      <c r="E729" s="1"/>
      <c r="F729" s="1"/>
      <c r="G729" s="1"/>
    </row>
    <row r="730" spans="3:7" x14ac:dyDescent="0.3">
      <c r="C730" s="1"/>
      <c r="D730" s="1"/>
      <c r="E730" s="1"/>
      <c r="F730" s="1"/>
      <c r="G730" s="1"/>
    </row>
    <row r="731" spans="3:7" x14ac:dyDescent="0.3">
      <c r="C731" s="1"/>
      <c r="D731" s="1"/>
      <c r="E731" s="1"/>
      <c r="F731" s="1"/>
      <c r="G731" s="1"/>
    </row>
    <row r="732" spans="3:7" x14ac:dyDescent="0.3">
      <c r="C732" s="1"/>
      <c r="D732" s="1"/>
      <c r="E732" s="1"/>
      <c r="F732" s="1"/>
      <c r="G732" s="1"/>
    </row>
    <row r="733" spans="3:7" x14ac:dyDescent="0.3">
      <c r="C733" s="1"/>
      <c r="D733" s="1"/>
      <c r="E733" s="1"/>
      <c r="F733" s="1"/>
      <c r="G733" s="1"/>
    </row>
    <row r="734" spans="3:7" x14ac:dyDescent="0.3">
      <c r="C734" s="1"/>
      <c r="D734" s="1"/>
      <c r="E734" s="1"/>
      <c r="F734" s="1"/>
      <c r="G734" s="1"/>
    </row>
    <row r="735" spans="3:7" x14ac:dyDescent="0.3">
      <c r="C735" s="1"/>
      <c r="D735" s="1"/>
      <c r="E735" s="1"/>
      <c r="F735" s="1"/>
      <c r="G735" s="1"/>
    </row>
    <row r="736" spans="3:7" x14ac:dyDescent="0.3">
      <c r="C736" s="1"/>
      <c r="D736" s="1"/>
      <c r="E736" s="1"/>
      <c r="F736" s="1"/>
      <c r="G736" s="1"/>
    </row>
    <row r="737" spans="3:7" x14ac:dyDescent="0.3">
      <c r="C737" s="1"/>
      <c r="D737" s="1"/>
      <c r="E737" s="1"/>
      <c r="F737" s="1"/>
      <c r="G737" s="1"/>
    </row>
    <row r="738" spans="3:7" x14ac:dyDescent="0.3">
      <c r="C738" s="1"/>
      <c r="D738" s="1"/>
      <c r="E738" s="1"/>
      <c r="F738" s="1"/>
      <c r="G738" s="1"/>
    </row>
    <row r="739" spans="3:7" x14ac:dyDescent="0.3">
      <c r="C739" s="1"/>
      <c r="D739" s="1"/>
      <c r="E739" s="1"/>
      <c r="F739" s="1"/>
      <c r="G739" s="1"/>
    </row>
    <row r="740" spans="3:7" x14ac:dyDescent="0.3">
      <c r="C740" s="1"/>
      <c r="D740" s="1"/>
      <c r="E740" s="1"/>
      <c r="F740" s="1"/>
      <c r="G740" s="1"/>
    </row>
    <row r="741" spans="3:7" x14ac:dyDescent="0.3">
      <c r="C741" s="1"/>
      <c r="D741" s="1"/>
      <c r="E741" s="1"/>
      <c r="F741" s="1"/>
      <c r="G741" s="1"/>
    </row>
    <row r="742" spans="3:7" x14ac:dyDescent="0.3">
      <c r="C742" s="1"/>
      <c r="D742" s="1"/>
      <c r="E742" s="1"/>
      <c r="F742" s="1"/>
      <c r="G742" s="1"/>
    </row>
    <row r="743" spans="3:7" x14ac:dyDescent="0.3">
      <c r="C743" s="1"/>
      <c r="D743" s="1"/>
      <c r="E743" s="1"/>
      <c r="F743" s="1"/>
      <c r="G743" s="1"/>
    </row>
    <row r="744" spans="3:7" x14ac:dyDescent="0.3">
      <c r="C744" s="1"/>
      <c r="D744" s="1"/>
      <c r="E744" s="1"/>
      <c r="F744" s="1"/>
      <c r="G744" s="1"/>
    </row>
    <row r="745" spans="3:7" x14ac:dyDescent="0.3">
      <c r="C745" s="1"/>
      <c r="D745" s="1"/>
      <c r="E745" s="1"/>
      <c r="F745" s="1"/>
      <c r="G745" s="1"/>
    </row>
    <row r="746" spans="3:7" x14ac:dyDescent="0.3">
      <c r="C746" s="1"/>
      <c r="D746" s="1"/>
      <c r="E746" s="1"/>
      <c r="F746" s="1"/>
      <c r="G746" s="1"/>
    </row>
    <row r="747" spans="3:7" x14ac:dyDescent="0.3">
      <c r="C747" s="1"/>
      <c r="D747" s="1"/>
      <c r="E747" s="1"/>
      <c r="F747" s="1"/>
      <c r="G747" s="1"/>
    </row>
    <row r="748" spans="3:7" x14ac:dyDescent="0.3">
      <c r="C748" s="1"/>
      <c r="D748" s="1"/>
      <c r="E748" s="1"/>
      <c r="F748" s="1"/>
      <c r="G748" s="1"/>
    </row>
    <row r="749" spans="3:7" x14ac:dyDescent="0.3">
      <c r="C749" s="1"/>
      <c r="D749" s="1"/>
      <c r="E749" s="1"/>
      <c r="F749" s="1"/>
      <c r="G749" s="1"/>
    </row>
    <row r="750" spans="3:7" x14ac:dyDescent="0.3">
      <c r="C750" s="1"/>
      <c r="D750" s="1"/>
      <c r="E750" s="1"/>
      <c r="F750" s="1"/>
      <c r="G750" s="1"/>
    </row>
    <row r="751" spans="3:7" x14ac:dyDescent="0.3">
      <c r="C751" s="1"/>
      <c r="D751" s="1"/>
      <c r="E751" s="1"/>
      <c r="F751" s="1"/>
      <c r="G751" s="1"/>
    </row>
    <row r="752" spans="3:7" x14ac:dyDescent="0.3">
      <c r="C752" s="1"/>
      <c r="D752" s="1"/>
      <c r="E752" s="1"/>
      <c r="F752" s="1"/>
      <c r="G752" s="1"/>
    </row>
    <row r="753" spans="3:7" x14ac:dyDescent="0.3">
      <c r="C753" s="1"/>
      <c r="D753" s="1"/>
      <c r="E753" s="1"/>
      <c r="F753" s="1"/>
      <c r="G753" s="1"/>
    </row>
    <row r="754" spans="3:7" x14ac:dyDescent="0.3">
      <c r="C754" s="1"/>
      <c r="D754" s="1"/>
      <c r="E754" s="1"/>
      <c r="F754" s="1"/>
      <c r="G754" s="1"/>
    </row>
    <row r="755" spans="3:7" x14ac:dyDescent="0.3">
      <c r="C755" s="1"/>
      <c r="D755" s="1"/>
      <c r="E755" s="1"/>
      <c r="F755" s="1"/>
      <c r="G755" s="1"/>
    </row>
    <row r="756" spans="3:7" x14ac:dyDescent="0.3">
      <c r="C756" s="1"/>
      <c r="D756" s="1"/>
      <c r="E756" s="1"/>
      <c r="F756" s="1"/>
      <c r="G756" s="1"/>
    </row>
    <row r="757" spans="3:7" x14ac:dyDescent="0.3">
      <c r="C757" s="1"/>
      <c r="D757" s="1"/>
      <c r="E757" s="1"/>
      <c r="F757" s="1"/>
      <c r="G757" s="1"/>
    </row>
    <row r="758" spans="3:7" x14ac:dyDescent="0.3">
      <c r="C758" s="1"/>
      <c r="D758" s="1"/>
      <c r="E758" s="1"/>
      <c r="F758" s="1"/>
      <c r="G758" s="1"/>
    </row>
    <row r="759" spans="3:7" x14ac:dyDescent="0.3">
      <c r="C759" s="1"/>
      <c r="D759" s="1"/>
      <c r="E759" s="1"/>
      <c r="F759" s="1"/>
      <c r="G759" s="1"/>
    </row>
    <row r="760" spans="3:7" x14ac:dyDescent="0.3">
      <c r="C760" s="1"/>
      <c r="D760" s="1"/>
      <c r="E760" s="1"/>
      <c r="F760" s="1"/>
      <c r="G760" s="1"/>
    </row>
    <row r="761" spans="3:7" x14ac:dyDescent="0.3">
      <c r="C761" s="1"/>
      <c r="D761" s="1"/>
      <c r="E761" s="1"/>
      <c r="F761" s="1"/>
      <c r="G761" s="1"/>
    </row>
    <row r="762" spans="3:7" x14ac:dyDescent="0.3">
      <c r="C762" s="1"/>
      <c r="D762" s="1"/>
      <c r="E762" s="1"/>
      <c r="F762" s="1"/>
      <c r="G762" s="1"/>
    </row>
    <row r="763" spans="3:7" x14ac:dyDescent="0.3">
      <c r="C763" s="1"/>
      <c r="D763" s="1"/>
      <c r="E763" s="1"/>
      <c r="F763" s="1"/>
      <c r="G763" s="1"/>
    </row>
    <row r="764" spans="3:7" x14ac:dyDescent="0.3">
      <c r="C764" s="1"/>
      <c r="D764" s="1"/>
      <c r="E764" s="1"/>
      <c r="F764" s="1"/>
      <c r="G764" s="1"/>
    </row>
    <row r="765" spans="3:7" x14ac:dyDescent="0.3">
      <c r="C765" s="1"/>
      <c r="D765" s="1"/>
      <c r="E765" s="1"/>
      <c r="F765" s="1"/>
      <c r="G765" s="1"/>
    </row>
    <row r="766" spans="3:7" x14ac:dyDescent="0.3">
      <c r="C766" s="1"/>
      <c r="D766" s="1"/>
      <c r="E766" s="1"/>
      <c r="F766" s="1"/>
      <c r="G766" s="1"/>
    </row>
    <row r="767" spans="3:7" x14ac:dyDescent="0.3">
      <c r="C767" s="1"/>
      <c r="D767" s="1"/>
      <c r="E767" s="1"/>
      <c r="F767" s="1"/>
      <c r="G767" s="1"/>
    </row>
    <row r="768" spans="3:7" x14ac:dyDescent="0.3">
      <c r="C768" s="1"/>
      <c r="D768" s="1"/>
      <c r="E768" s="1"/>
      <c r="F768" s="1"/>
      <c r="G768" s="1"/>
    </row>
    <row r="769" spans="3:7" x14ac:dyDescent="0.3">
      <c r="C769" s="1"/>
      <c r="D769" s="1"/>
      <c r="E769" s="1"/>
      <c r="F769" s="1"/>
      <c r="G769" s="1"/>
    </row>
    <row r="770" spans="3:7" x14ac:dyDescent="0.3">
      <c r="C770" s="1"/>
      <c r="D770" s="1"/>
      <c r="E770" s="1"/>
      <c r="F770" s="1"/>
      <c r="G770" s="1"/>
    </row>
    <row r="771" spans="3:7" x14ac:dyDescent="0.3">
      <c r="C771" s="1"/>
      <c r="D771" s="1"/>
      <c r="E771" s="1"/>
      <c r="F771" s="1"/>
      <c r="G771" s="1"/>
    </row>
    <row r="772" spans="3:7" x14ac:dyDescent="0.3">
      <c r="C772" s="1"/>
      <c r="D772" s="1"/>
      <c r="E772" s="1"/>
      <c r="F772" s="1"/>
      <c r="G772" s="1"/>
    </row>
    <row r="773" spans="3:7" x14ac:dyDescent="0.3">
      <c r="C773" s="1"/>
      <c r="D773" s="1"/>
      <c r="E773" s="1"/>
      <c r="F773" s="1"/>
      <c r="G773" s="1"/>
    </row>
    <row r="774" spans="3:7" x14ac:dyDescent="0.3">
      <c r="C774" s="1"/>
      <c r="D774" s="1"/>
      <c r="E774" s="1"/>
      <c r="F774" s="1"/>
      <c r="G774" s="1"/>
    </row>
    <row r="775" spans="3:7" x14ac:dyDescent="0.3">
      <c r="C775" s="1"/>
      <c r="D775" s="1"/>
      <c r="E775" s="1"/>
      <c r="F775" s="1"/>
      <c r="G775" s="1"/>
    </row>
    <row r="776" spans="3:7" x14ac:dyDescent="0.3">
      <c r="C776" s="1"/>
      <c r="D776" s="1"/>
      <c r="E776" s="1"/>
      <c r="F776" s="1"/>
      <c r="G776" s="1"/>
    </row>
    <row r="777" spans="3:7" x14ac:dyDescent="0.3">
      <c r="C777" s="1"/>
      <c r="D777" s="1"/>
      <c r="E777" s="1"/>
      <c r="F777" s="1"/>
      <c r="G777" s="1"/>
    </row>
    <row r="778" spans="3:7" x14ac:dyDescent="0.3">
      <c r="C778" s="1"/>
      <c r="D778" s="1"/>
      <c r="E778" s="1"/>
      <c r="F778" s="1"/>
      <c r="G778" s="1"/>
    </row>
    <row r="779" spans="3:7" x14ac:dyDescent="0.3">
      <c r="C779" s="1"/>
      <c r="D779" s="1"/>
      <c r="E779" s="1"/>
      <c r="F779" s="1"/>
      <c r="G779" s="1"/>
    </row>
    <row r="780" spans="3:7" x14ac:dyDescent="0.3">
      <c r="C780" s="1"/>
      <c r="D780" s="1"/>
      <c r="E780" s="1"/>
      <c r="F780" s="1"/>
      <c r="G780" s="1"/>
    </row>
    <row r="781" spans="3:7" x14ac:dyDescent="0.3">
      <c r="C781" s="1"/>
      <c r="D781" s="1"/>
      <c r="E781" s="1"/>
      <c r="F781" s="1"/>
      <c r="G781" s="1"/>
    </row>
    <row r="782" spans="3:7" x14ac:dyDescent="0.3">
      <c r="C782" s="1"/>
      <c r="D782" s="1"/>
      <c r="E782" s="1"/>
      <c r="F782" s="1"/>
      <c r="G782" s="1"/>
    </row>
    <row r="783" spans="3:7" x14ac:dyDescent="0.3">
      <c r="C783" s="1"/>
      <c r="D783" s="1"/>
      <c r="E783" s="1"/>
      <c r="F783" s="1"/>
      <c r="G783" s="1"/>
    </row>
    <row r="784" spans="3:7" x14ac:dyDescent="0.3">
      <c r="C784" s="1"/>
      <c r="D784" s="1"/>
      <c r="E784" s="1"/>
      <c r="F784" s="1"/>
      <c r="G784" s="1"/>
    </row>
    <row r="785" spans="3:7" x14ac:dyDescent="0.3">
      <c r="C785" s="1"/>
      <c r="D785" s="1"/>
      <c r="E785" s="1"/>
      <c r="F785" s="1"/>
      <c r="G785" s="1"/>
    </row>
    <row r="786" spans="3:7" x14ac:dyDescent="0.3">
      <c r="C786" s="1"/>
      <c r="D786" s="1"/>
      <c r="E786" s="1"/>
      <c r="F786" s="1"/>
      <c r="G786" s="1"/>
    </row>
    <row r="787" spans="3:7" x14ac:dyDescent="0.3">
      <c r="C787" s="1"/>
      <c r="D787" s="1"/>
      <c r="E787" s="1"/>
      <c r="F787" s="1"/>
      <c r="G787" s="1"/>
    </row>
    <row r="788" spans="3:7" x14ac:dyDescent="0.3">
      <c r="C788" s="1"/>
      <c r="D788" s="1"/>
      <c r="E788" s="1"/>
      <c r="F788" s="1"/>
      <c r="G788" s="1"/>
    </row>
    <row r="789" spans="3:7" x14ac:dyDescent="0.3">
      <c r="C789" s="1"/>
      <c r="D789" s="1"/>
      <c r="E789" s="1"/>
      <c r="F789" s="1"/>
      <c r="G789" s="1"/>
    </row>
    <row r="790" spans="3:7" x14ac:dyDescent="0.3">
      <c r="C790" s="1"/>
      <c r="D790" s="1"/>
      <c r="E790" s="1"/>
      <c r="F790" s="1"/>
      <c r="G790" s="1"/>
    </row>
    <row r="791" spans="3:7" x14ac:dyDescent="0.3">
      <c r="C791" s="1"/>
      <c r="D791" s="1"/>
      <c r="E791" s="1"/>
      <c r="F791" s="1"/>
      <c r="G791" s="1"/>
    </row>
    <row r="792" spans="3:7" x14ac:dyDescent="0.3">
      <c r="C792" s="1"/>
      <c r="D792" s="1"/>
      <c r="E792" s="1"/>
      <c r="F792" s="1"/>
      <c r="G792" s="1"/>
    </row>
    <row r="793" spans="3:7" x14ac:dyDescent="0.3">
      <c r="C793" s="1"/>
      <c r="D793" s="1"/>
      <c r="E793" s="1"/>
      <c r="F793" s="1"/>
      <c r="G793" s="1"/>
    </row>
    <row r="794" spans="3:7" x14ac:dyDescent="0.3">
      <c r="C794" s="1"/>
      <c r="D794" s="1"/>
      <c r="E794" s="1"/>
      <c r="F794" s="1"/>
      <c r="G794" s="1"/>
    </row>
    <row r="795" spans="3:7" x14ac:dyDescent="0.3">
      <c r="C795" s="1"/>
      <c r="D795" s="1"/>
      <c r="E795" s="1"/>
      <c r="F795" s="1"/>
      <c r="G795" s="1"/>
    </row>
    <row r="796" spans="3:7" x14ac:dyDescent="0.3">
      <c r="C796" s="1"/>
      <c r="D796" s="1"/>
      <c r="E796" s="1"/>
      <c r="F796" s="1"/>
      <c r="G796" s="1"/>
    </row>
    <row r="797" spans="3:7" x14ac:dyDescent="0.3">
      <c r="C797" s="1"/>
      <c r="D797" s="1"/>
      <c r="E797" s="1"/>
      <c r="F797" s="1"/>
      <c r="G797" s="1"/>
    </row>
    <row r="798" spans="3:7" x14ac:dyDescent="0.3">
      <c r="C798" s="1"/>
      <c r="D798" s="1"/>
      <c r="E798" s="1"/>
      <c r="F798" s="1"/>
      <c r="G798" s="1"/>
    </row>
    <row r="799" spans="3:7" x14ac:dyDescent="0.3">
      <c r="C799" s="1"/>
      <c r="D799" s="1"/>
      <c r="E799" s="1"/>
      <c r="F799" s="1"/>
      <c r="G799" s="1"/>
    </row>
    <row r="800" spans="3:7" x14ac:dyDescent="0.3">
      <c r="C800" s="1"/>
      <c r="D800" s="1"/>
      <c r="E800" s="1"/>
      <c r="F800" s="1"/>
      <c r="G800" s="1"/>
    </row>
    <row r="801" spans="3:7" x14ac:dyDescent="0.3">
      <c r="C801" s="1"/>
      <c r="D801" s="1"/>
      <c r="E801" s="1"/>
      <c r="F801" s="1"/>
      <c r="G801" s="1"/>
    </row>
    <row r="802" spans="3:7" x14ac:dyDescent="0.3">
      <c r="C802" s="1"/>
      <c r="D802" s="1"/>
      <c r="E802" s="1"/>
      <c r="F802" s="1"/>
      <c r="G802" s="1"/>
    </row>
    <row r="803" spans="3:7" x14ac:dyDescent="0.3">
      <c r="C803" s="1"/>
      <c r="D803" s="1"/>
      <c r="E803" s="1"/>
      <c r="F803" s="1"/>
      <c r="G803" s="1"/>
    </row>
    <row r="804" spans="3:7" x14ac:dyDescent="0.3">
      <c r="C804" s="1"/>
      <c r="D804" s="1"/>
      <c r="E804" s="1"/>
      <c r="F804" s="1"/>
      <c r="G804" s="1"/>
    </row>
    <row r="805" spans="3:7" x14ac:dyDescent="0.3">
      <c r="C805" s="1"/>
      <c r="D805" s="1"/>
      <c r="E805" s="1"/>
      <c r="F805" s="1"/>
      <c r="G805" s="1"/>
    </row>
    <row r="806" spans="3:7" x14ac:dyDescent="0.3">
      <c r="C806" s="1"/>
      <c r="D806" s="1"/>
      <c r="E806" s="1"/>
      <c r="F806" s="1"/>
      <c r="G806" s="1"/>
    </row>
    <row r="807" spans="3:7" x14ac:dyDescent="0.3">
      <c r="C807" s="1"/>
      <c r="D807" s="1"/>
      <c r="E807" s="1"/>
      <c r="F807" s="1"/>
      <c r="G807" s="1"/>
    </row>
    <row r="808" spans="3:7" x14ac:dyDescent="0.3">
      <c r="C808" s="1"/>
      <c r="D808" s="1"/>
      <c r="E808" s="1"/>
      <c r="F808" s="1"/>
      <c r="G808" s="1"/>
    </row>
    <row r="809" spans="3:7" x14ac:dyDescent="0.3">
      <c r="C809" s="1"/>
      <c r="D809" s="1"/>
      <c r="E809" s="1"/>
      <c r="F809" s="1"/>
      <c r="G809" s="1"/>
    </row>
    <row r="810" spans="3:7" x14ac:dyDescent="0.3">
      <c r="C810" s="1"/>
      <c r="D810" s="1"/>
      <c r="E810" s="1"/>
      <c r="F810" s="1"/>
      <c r="G810" s="1"/>
    </row>
    <row r="811" spans="3:7" x14ac:dyDescent="0.3">
      <c r="C811" s="1"/>
      <c r="D811" s="1"/>
      <c r="E811" s="1"/>
      <c r="F811" s="1"/>
      <c r="G811" s="1"/>
    </row>
    <row r="812" spans="3:7" x14ac:dyDescent="0.3">
      <c r="C812" s="1"/>
      <c r="D812" s="1"/>
      <c r="E812" s="1"/>
      <c r="F812" s="1"/>
      <c r="G812" s="1"/>
    </row>
    <row r="813" spans="3:7" x14ac:dyDescent="0.3">
      <c r="C813" s="1"/>
      <c r="D813" s="1"/>
      <c r="E813" s="1"/>
      <c r="F813" s="1"/>
      <c r="G813" s="1"/>
    </row>
    <row r="814" spans="3:7" x14ac:dyDescent="0.3">
      <c r="C814" s="1"/>
      <c r="D814" s="1"/>
      <c r="E814" s="1"/>
      <c r="F814" s="1"/>
      <c r="G814" s="1"/>
    </row>
    <row r="815" spans="3:7" x14ac:dyDescent="0.3">
      <c r="C815" s="1"/>
      <c r="D815" s="1"/>
      <c r="E815" s="1"/>
      <c r="F815" s="1"/>
      <c r="G815" s="1"/>
    </row>
    <row r="816" spans="3:7" x14ac:dyDescent="0.3">
      <c r="C816" s="1"/>
      <c r="D816" s="1"/>
      <c r="E816" s="1"/>
      <c r="F816" s="1"/>
      <c r="G816" s="1"/>
    </row>
    <row r="817" spans="3:7" x14ac:dyDescent="0.3">
      <c r="C817" s="1"/>
      <c r="D817" s="1"/>
      <c r="E817" s="1"/>
      <c r="F817" s="1"/>
      <c r="G817" s="1"/>
    </row>
    <row r="818" spans="3:7" x14ac:dyDescent="0.3">
      <c r="C818" s="1"/>
      <c r="D818" s="1"/>
      <c r="E818" s="1"/>
      <c r="F818" s="1"/>
      <c r="G818" s="1"/>
    </row>
    <row r="819" spans="3:7" x14ac:dyDescent="0.3">
      <c r="C819" s="1"/>
      <c r="D819" s="1"/>
      <c r="E819" s="1"/>
      <c r="F819" s="1"/>
      <c r="G819" s="1"/>
    </row>
    <row r="820" spans="3:7" x14ac:dyDescent="0.3">
      <c r="C820" s="1"/>
      <c r="D820" s="1"/>
      <c r="E820" s="1"/>
      <c r="F820" s="1"/>
      <c r="G820" s="1"/>
    </row>
    <row r="821" spans="3:7" x14ac:dyDescent="0.3">
      <c r="C821" s="1"/>
      <c r="D821" s="1"/>
      <c r="E821" s="1"/>
      <c r="F821" s="1"/>
      <c r="G821" s="1"/>
    </row>
    <row r="822" spans="3:7" x14ac:dyDescent="0.3">
      <c r="C822" s="1"/>
      <c r="D822" s="1"/>
      <c r="E822" s="1"/>
      <c r="F822" s="1"/>
      <c r="G822" s="1"/>
    </row>
    <row r="823" spans="3:7" x14ac:dyDescent="0.3">
      <c r="C823" s="1"/>
      <c r="D823" s="1"/>
      <c r="E823" s="1"/>
      <c r="F823" s="1"/>
      <c r="G823" s="1"/>
    </row>
    <row r="824" spans="3:7" x14ac:dyDescent="0.3">
      <c r="C824" s="1"/>
      <c r="D824" s="1"/>
      <c r="E824" s="1"/>
      <c r="F824" s="1"/>
      <c r="G824" s="1"/>
    </row>
    <row r="825" spans="3:7" x14ac:dyDescent="0.3">
      <c r="C825" s="1"/>
      <c r="D825" s="1"/>
      <c r="E825" s="1"/>
      <c r="F825" s="1"/>
      <c r="G825" s="1"/>
    </row>
    <row r="826" spans="3:7" x14ac:dyDescent="0.3">
      <c r="C826" s="1"/>
      <c r="D826" s="1"/>
      <c r="E826" s="1"/>
      <c r="F826" s="1"/>
      <c r="G826" s="1"/>
    </row>
    <row r="827" spans="3:7" x14ac:dyDescent="0.3">
      <c r="C827" s="1"/>
      <c r="D827" s="1"/>
      <c r="E827" s="1"/>
      <c r="F827" s="1"/>
      <c r="G827" s="1"/>
    </row>
    <row r="828" spans="3:7" x14ac:dyDescent="0.3">
      <c r="C828" s="1"/>
      <c r="D828" s="1"/>
      <c r="E828" s="1"/>
      <c r="F828" s="1"/>
      <c r="G828" s="1"/>
    </row>
    <row r="829" spans="3:7" x14ac:dyDescent="0.3">
      <c r="C829" s="1"/>
      <c r="D829" s="1"/>
      <c r="E829" s="1"/>
      <c r="F829" s="1"/>
      <c r="G829" s="1"/>
    </row>
    <row r="830" spans="3:7" x14ac:dyDescent="0.3">
      <c r="C830" s="1"/>
      <c r="D830" s="1"/>
      <c r="E830" s="1"/>
      <c r="F830" s="1"/>
      <c r="G830" s="1"/>
    </row>
    <row r="831" spans="3:7" x14ac:dyDescent="0.3">
      <c r="C831" s="1"/>
      <c r="D831" s="1"/>
      <c r="E831" s="1"/>
      <c r="F831" s="1"/>
      <c r="G831" s="1"/>
    </row>
    <row r="832" spans="3:7" x14ac:dyDescent="0.3">
      <c r="C832" s="1"/>
      <c r="D832" s="1"/>
      <c r="E832" s="1"/>
      <c r="F832" s="1"/>
      <c r="G832" s="1"/>
    </row>
    <row r="833" spans="3:7" x14ac:dyDescent="0.3">
      <c r="C833" s="1"/>
      <c r="D833" s="1"/>
      <c r="E833" s="1"/>
      <c r="F833" s="1"/>
      <c r="G833" s="1"/>
    </row>
    <row r="834" spans="3:7" x14ac:dyDescent="0.3">
      <c r="C834" s="1"/>
      <c r="D834" s="1"/>
      <c r="E834" s="1"/>
      <c r="F834" s="1"/>
      <c r="G834" s="1"/>
    </row>
    <row r="835" spans="3:7" x14ac:dyDescent="0.3">
      <c r="C835" s="1"/>
      <c r="D835" s="1"/>
      <c r="E835" s="1"/>
      <c r="F835" s="1"/>
      <c r="G835" s="1"/>
    </row>
    <row r="836" spans="3:7" x14ac:dyDescent="0.3">
      <c r="C836" s="1"/>
      <c r="D836" s="1"/>
      <c r="E836" s="1"/>
      <c r="F836" s="1"/>
      <c r="G836" s="1"/>
    </row>
    <row r="837" spans="3:7" x14ac:dyDescent="0.3">
      <c r="C837" s="1"/>
      <c r="D837" s="1"/>
      <c r="E837" s="1"/>
      <c r="F837" s="1"/>
      <c r="G837" s="1"/>
    </row>
    <row r="838" spans="3:7" x14ac:dyDescent="0.3">
      <c r="C838" s="1"/>
      <c r="D838" s="1"/>
      <c r="E838" s="1"/>
      <c r="F838" s="1"/>
      <c r="G838" s="1"/>
    </row>
    <row r="839" spans="3:7" x14ac:dyDescent="0.3">
      <c r="C839" s="1"/>
      <c r="D839" s="1"/>
      <c r="E839" s="1"/>
      <c r="F839" s="1"/>
      <c r="G839" s="1"/>
    </row>
    <row r="840" spans="3:7" x14ac:dyDescent="0.3">
      <c r="C840" s="1"/>
      <c r="D840" s="1"/>
      <c r="E840" s="1"/>
      <c r="F840" s="1"/>
      <c r="G840" s="1"/>
    </row>
    <row r="841" spans="3:7" x14ac:dyDescent="0.3">
      <c r="C841" s="1"/>
      <c r="D841" s="1"/>
      <c r="E841" s="1"/>
      <c r="F841" s="1"/>
      <c r="G841" s="1"/>
    </row>
    <row r="842" spans="3:7" x14ac:dyDescent="0.3">
      <c r="C842" s="1"/>
      <c r="D842" s="1"/>
      <c r="E842" s="1"/>
      <c r="F842" s="1"/>
      <c r="G842" s="1"/>
    </row>
    <row r="843" spans="3:7" x14ac:dyDescent="0.3">
      <c r="C843" s="1"/>
      <c r="D843" s="1"/>
      <c r="E843" s="1"/>
      <c r="F843" s="1"/>
      <c r="G843" s="1"/>
    </row>
    <row r="844" spans="3:7" x14ac:dyDescent="0.3">
      <c r="C844" s="1"/>
      <c r="D844" s="1"/>
      <c r="E844" s="1"/>
      <c r="F844" s="1"/>
      <c r="G844" s="1"/>
    </row>
    <row r="845" spans="3:7" x14ac:dyDescent="0.3">
      <c r="C845" s="1"/>
      <c r="D845" s="1"/>
      <c r="E845" s="1"/>
      <c r="F845" s="1"/>
      <c r="G845" s="1"/>
    </row>
    <row r="846" spans="3:7" x14ac:dyDescent="0.3">
      <c r="C846" s="1"/>
      <c r="D846" s="1"/>
      <c r="E846" s="1"/>
      <c r="F846" s="1"/>
      <c r="G846" s="1"/>
    </row>
    <row r="847" spans="3:7" x14ac:dyDescent="0.3">
      <c r="C847" s="1"/>
      <c r="D847" s="1"/>
      <c r="E847" s="1"/>
      <c r="F847" s="1"/>
      <c r="G847" s="1"/>
    </row>
    <row r="848" spans="3:7" x14ac:dyDescent="0.3">
      <c r="C848" s="1"/>
      <c r="D848" s="1"/>
      <c r="E848" s="1"/>
      <c r="F848" s="1"/>
      <c r="G848" s="1"/>
    </row>
    <row r="849" spans="3:7" x14ac:dyDescent="0.3">
      <c r="C849" s="1"/>
      <c r="D849" s="1"/>
      <c r="E849" s="1"/>
      <c r="F849" s="1"/>
      <c r="G849" s="1"/>
    </row>
    <row r="850" spans="3:7" x14ac:dyDescent="0.3">
      <c r="C850" s="1"/>
      <c r="D850" s="1"/>
      <c r="E850" s="1"/>
      <c r="F850" s="1"/>
      <c r="G850" s="1"/>
    </row>
    <row r="851" spans="3:7" x14ac:dyDescent="0.3">
      <c r="C851" s="1"/>
      <c r="D851" s="1"/>
      <c r="E851" s="1"/>
      <c r="F851" s="1"/>
      <c r="G851" s="1"/>
    </row>
    <row r="852" spans="3:7" x14ac:dyDescent="0.3">
      <c r="C852" s="1"/>
      <c r="D852" s="1"/>
      <c r="E852" s="1"/>
      <c r="F852" s="1"/>
      <c r="G852" s="1"/>
    </row>
    <row r="853" spans="3:7" x14ac:dyDescent="0.3">
      <c r="C853" s="1"/>
      <c r="D853" s="1"/>
      <c r="E853" s="1"/>
      <c r="F853" s="1"/>
      <c r="G853" s="1"/>
    </row>
    <row r="854" spans="3:7" x14ac:dyDescent="0.3">
      <c r="C854" s="1"/>
      <c r="D854" s="1"/>
      <c r="E854" s="1"/>
      <c r="F854" s="1"/>
      <c r="G854" s="1"/>
    </row>
    <row r="855" spans="3:7" x14ac:dyDescent="0.3">
      <c r="C855" s="1"/>
      <c r="D855" s="1"/>
      <c r="E855" s="1"/>
      <c r="F855" s="1"/>
      <c r="G855" s="1"/>
    </row>
    <row r="856" spans="3:7" x14ac:dyDescent="0.3">
      <c r="C856" s="1"/>
      <c r="D856" s="1"/>
      <c r="E856" s="1"/>
      <c r="F856" s="1"/>
      <c r="G856" s="1"/>
    </row>
    <row r="857" spans="3:7" x14ac:dyDescent="0.3">
      <c r="C857" s="1"/>
      <c r="D857" s="1"/>
      <c r="E857" s="1"/>
      <c r="F857" s="1"/>
      <c r="G857" s="1"/>
    </row>
    <row r="858" spans="3:7" x14ac:dyDescent="0.3">
      <c r="C858" s="1"/>
      <c r="D858" s="1"/>
      <c r="E858" s="1"/>
      <c r="F858" s="1"/>
      <c r="G858" s="1"/>
    </row>
    <row r="859" spans="3:7" x14ac:dyDescent="0.3">
      <c r="C859" s="1"/>
      <c r="D859" s="1"/>
      <c r="E859" s="1"/>
      <c r="F859" s="1"/>
      <c r="G859" s="1"/>
    </row>
    <row r="860" spans="3:7" x14ac:dyDescent="0.3">
      <c r="C860" s="1"/>
      <c r="D860" s="1"/>
      <c r="E860" s="1"/>
      <c r="F860" s="1"/>
      <c r="G860" s="1"/>
    </row>
    <row r="861" spans="3:7" x14ac:dyDescent="0.3">
      <c r="C861" s="1"/>
      <c r="D861" s="1"/>
      <c r="E861" s="1"/>
      <c r="F861" s="1"/>
      <c r="G861" s="1"/>
    </row>
    <row r="862" spans="3:7" x14ac:dyDescent="0.3">
      <c r="C862" s="1"/>
      <c r="D862" s="1"/>
      <c r="E862" s="1"/>
      <c r="F862" s="1"/>
      <c r="G862" s="1"/>
    </row>
    <row r="863" spans="3:7" x14ac:dyDescent="0.3">
      <c r="C863" s="1"/>
      <c r="D863" s="1"/>
      <c r="E863" s="1"/>
      <c r="F863" s="1"/>
      <c r="G863" s="1"/>
    </row>
    <row r="864" spans="3:7" x14ac:dyDescent="0.3">
      <c r="C864" s="1"/>
      <c r="D864" s="1"/>
      <c r="E864" s="1"/>
      <c r="F864" s="1"/>
      <c r="G864" s="1"/>
    </row>
    <row r="865" spans="3:7" x14ac:dyDescent="0.3">
      <c r="C865" s="1"/>
      <c r="D865" s="1"/>
      <c r="E865" s="1"/>
      <c r="F865" s="1"/>
      <c r="G865" s="1"/>
    </row>
    <row r="866" spans="3:7" x14ac:dyDescent="0.3">
      <c r="C866" s="1"/>
      <c r="D866" s="1"/>
      <c r="E866" s="1"/>
      <c r="F866" s="1"/>
      <c r="G866" s="1"/>
    </row>
    <row r="867" spans="3:7" x14ac:dyDescent="0.3">
      <c r="C867" s="1"/>
      <c r="D867" s="1"/>
      <c r="E867" s="1"/>
      <c r="F867" s="1"/>
      <c r="G867" s="1"/>
    </row>
    <row r="868" spans="3:7" x14ac:dyDescent="0.3">
      <c r="C868" s="1"/>
      <c r="D868" s="1"/>
      <c r="E868" s="1"/>
      <c r="F868" s="1"/>
      <c r="G868" s="1"/>
    </row>
    <row r="869" spans="3:7" x14ac:dyDescent="0.3">
      <c r="C869" s="1"/>
      <c r="D869" s="1"/>
      <c r="E869" s="1"/>
      <c r="F869" s="1"/>
      <c r="G869" s="1"/>
    </row>
    <row r="870" spans="3:7" x14ac:dyDescent="0.3">
      <c r="C870" s="1"/>
      <c r="D870" s="1"/>
      <c r="E870" s="1"/>
      <c r="F870" s="1"/>
      <c r="G870" s="1"/>
    </row>
    <row r="871" spans="3:7" x14ac:dyDescent="0.3">
      <c r="C871" s="1"/>
      <c r="D871" s="1"/>
      <c r="E871" s="1"/>
      <c r="F871" s="1"/>
      <c r="G871" s="1"/>
    </row>
    <row r="872" spans="3:7" x14ac:dyDescent="0.3">
      <c r="C872" s="1"/>
      <c r="D872" s="1"/>
      <c r="E872" s="1"/>
      <c r="F872" s="1"/>
      <c r="G872" s="1"/>
    </row>
    <row r="873" spans="3:7" x14ac:dyDescent="0.3">
      <c r="C873" s="1"/>
      <c r="D873" s="1"/>
      <c r="E873" s="1"/>
      <c r="F873" s="1"/>
      <c r="G873" s="1"/>
    </row>
    <row r="874" spans="3:7" x14ac:dyDescent="0.3">
      <c r="C874" s="1"/>
      <c r="D874" s="1"/>
      <c r="E874" s="1"/>
      <c r="F874" s="1"/>
      <c r="G874" s="1"/>
    </row>
    <row r="875" spans="3:7" x14ac:dyDescent="0.3">
      <c r="C875" s="1"/>
      <c r="D875" s="1"/>
      <c r="E875" s="1"/>
      <c r="F875" s="1"/>
      <c r="G875" s="1"/>
    </row>
    <row r="876" spans="3:7" x14ac:dyDescent="0.3">
      <c r="C876" s="1"/>
      <c r="D876" s="1"/>
      <c r="E876" s="1"/>
      <c r="F876" s="1"/>
      <c r="G876" s="1"/>
    </row>
    <row r="877" spans="3:7" x14ac:dyDescent="0.3">
      <c r="C877" s="1"/>
      <c r="D877" s="1"/>
      <c r="E877" s="1"/>
      <c r="F877" s="1"/>
      <c r="G877" s="1"/>
    </row>
    <row r="878" spans="3:7" x14ac:dyDescent="0.3">
      <c r="C878" s="1"/>
      <c r="D878" s="1"/>
      <c r="E878" s="1"/>
      <c r="F878" s="1"/>
      <c r="G878" s="1"/>
    </row>
    <row r="879" spans="3:7" x14ac:dyDescent="0.3">
      <c r="C879" s="1"/>
      <c r="D879" s="1"/>
      <c r="E879" s="1"/>
      <c r="F879" s="1"/>
      <c r="G879" s="1"/>
    </row>
    <row r="880" spans="3:7" x14ac:dyDescent="0.3">
      <c r="C880" s="1"/>
      <c r="D880" s="1"/>
      <c r="E880" s="1"/>
      <c r="F880" s="1"/>
      <c r="G880" s="1"/>
    </row>
    <row r="881" spans="3:7" x14ac:dyDescent="0.3">
      <c r="C881" s="1"/>
      <c r="D881" s="1"/>
      <c r="E881" s="1"/>
      <c r="F881" s="1"/>
      <c r="G881" s="1"/>
    </row>
    <row r="882" spans="3:7" x14ac:dyDescent="0.3">
      <c r="C882" s="1"/>
      <c r="D882" s="1"/>
      <c r="E882" s="1"/>
      <c r="F882" s="1"/>
      <c r="G882" s="1"/>
    </row>
    <row r="883" spans="3:7" x14ac:dyDescent="0.3">
      <c r="C883" s="1"/>
      <c r="D883" s="1"/>
      <c r="E883" s="1"/>
      <c r="F883" s="1"/>
      <c r="G883" s="1"/>
    </row>
    <row r="884" spans="3:7" x14ac:dyDescent="0.3">
      <c r="C884" s="1"/>
      <c r="D884" s="1"/>
      <c r="E884" s="1"/>
      <c r="F884" s="1"/>
      <c r="G884" s="1"/>
    </row>
    <row r="885" spans="3:7" x14ac:dyDescent="0.3">
      <c r="C885" s="1"/>
      <c r="D885" s="1"/>
      <c r="E885" s="1"/>
      <c r="F885" s="1"/>
      <c r="G885" s="1"/>
    </row>
    <row r="886" spans="3:7" x14ac:dyDescent="0.3">
      <c r="C886" s="1"/>
      <c r="D886" s="1"/>
      <c r="E886" s="1"/>
      <c r="F886" s="1"/>
      <c r="G886" s="1"/>
    </row>
    <row r="887" spans="3:7" x14ac:dyDescent="0.3">
      <c r="C887" s="1"/>
      <c r="D887" s="1"/>
      <c r="E887" s="1"/>
      <c r="F887" s="1"/>
      <c r="G887" s="1"/>
    </row>
    <row r="888" spans="3:7" x14ac:dyDescent="0.3">
      <c r="C888" s="1"/>
      <c r="D888" s="1"/>
      <c r="E888" s="1"/>
      <c r="F888" s="1"/>
      <c r="G888" s="1"/>
    </row>
    <row r="889" spans="3:7" x14ac:dyDescent="0.3">
      <c r="C889" s="1"/>
      <c r="D889" s="1"/>
      <c r="E889" s="1"/>
      <c r="F889" s="1"/>
      <c r="G889" s="1"/>
    </row>
    <row r="890" spans="3:7" x14ac:dyDescent="0.3">
      <c r="C890" s="1"/>
      <c r="D890" s="1"/>
      <c r="E890" s="1"/>
      <c r="F890" s="1"/>
      <c r="G890" s="1"/>
    </row>
    <row r="891" spans="3:7" x14ac:dyDescent="0.3">
      <c r="C891" s="1"/>
      <c r="D891" s="1"/>
      <c r="E891" s="1"/>
      <c r="F891" s="1"/>
      <c r="G891" s="1"/>
    </row>
    <row r="892" spans="3:7" x14ac:dyDescent="0.3">
      <c r="C892" s="1"/>
      <c r="D892" s="1"/>
      <c r="E892" s="1"/>
      <c r="F892" s="1"/>
      <c r="G892" s="1"/>
    </row>
    <row r="893" spans="3:7" x14ac:dyDescent="0.3">
      <c r="C893" s="1"/>
      <c r="D893" s="1"/>
      <c r="E893" s="1"/>
      <c r="F893" s="1"/>
      <c r="G893" s="1"/>
    </row>
    <row r="894" spans="3:7" x14ac:dyDescent="0.3">
      <c r="C894" s="1"/>
      <c r="D894" s="1"/>
      <c r="E894" s="1"/>
      <c r="F894" s="1"/>
      <c r="G894" s="1"/>
    </row>
    <row r="895" spans="3:7" x14ac:dyDescent="0.3">
      <c r="C895" s="1"/>
      <c r="D895" s="1"/>
      <c r="E895" s="1"/>
      <c r="F895" s="1"/>
      <c r="G895" s="1"/>
    </row>
    <row r="896" spans="3:7" x14ac:dyDescent="0.3">
      <c r="C896" s="1"/>
      <c r="D896" s="1"/>
      <c r="E896" s="1"/>
      <c r="F896" s="1"/>
      <c r="G896" s="1"/>
    </row>
    <row r="897" spans="3:7" x14ac:dyDescent="0.3">
      <c r="C897" s="1"/>
      <c r="D897" s="1"/>
      <c r="E897" s="1"/>
      <c r="F897" s="1"/>
      <c r="G897" s="1"/>
    </row>
    <row r="898" spans="3:7" x14ac:dyDescent="0.3">
      <c r="C898" s="1"/>
      <c r="D898" s="1"/>
      <c r="E898" s="1"/>
      <c r="F898" s="1"/>
      <c r="G898" s="1"/>
    </row>
    <row r="899" spans="3:7" x14ac:dyDescent="0.3">
      <c r="C899" s="1"/>
      <c r="D899" s="1"/>
      <c r="E899" s="1"/>
      <c r="F899" s="1"/>
      <c r="G899" s="1"/>
    </row>
    <row r="900" spans="3:7" x14ac:dyDescent="0.3">
      <c r="C900" s="1"/>
      <c r="D900" s="1"/>
      <c r="E900" s="1"/>
      <c r="F900" s="1"/>
      <c r="G900" s="1"/>
    </row>
    <row r="901" spans="3:7" x14ac:dyDescent="0.3">
      <c r="C901" s="1"/>
      <c r="D901" s="1"/>
      <c r="E901" s="1"/>
      <c r="F901" s="1"/>
      <c r="G901" s="1"/>
    </row>
    <row r="902" spans="3:7" x14ac:dyDescent="0.3">
      <c r="C902" s="1"/>
      <c r="D902" s="1"/>
      <c r="E902" s="1"/>
      <c r="F902" s="1"/>
      <c r="G902" s="1"/>
    </row>
    <row r="903" spans="3:7" x14ac:dyDescent="0.3">
      <c r="C903" s="1"/>
      <c r="D903" s="1"/>
      <c r="E903" s="1"/>
      <c r="F903" s="1"/>
      <c r="G903" s="1"/>
    </row>
    <row r="904" spans="3:7" x14ac:dyDescent="0.3">
      <c r="C904" s="1"/>
      <c r="D904" s="1"/>
      <c r="E904" s="1"/>
      <c r="F904" s="1"/>
      <c r="G904" s="1"/>
    </row>
    <row r="905" spans="3:7" x14ac:dyDescent="0.3">
      <c r="C905" s="1"/>
      <c r="D905" s="1"/>
      <c r="E905" s="1"/>
      <c r="F905" s="1"/>
      <c r="G905" s="1"/>
    </row>
    <row r="906" spans="3:7" x14ac:dyDescent="0.3">
      <c r="C906" s="1"/>
      <c r="D906" s="1"/>
      <c r="E906" s="1"/>
      <c r="F906" s="1"/>
      <c r="G906" s="1"/>
    </row>
    <row r="907" spans="3:7" x14ac:dyDescent="0.3">
      <c r="C907" s="1"/>
      <c r="D907" s="1"/>
      <c r="E907" s="1"/>
      <c r="F907" s="1"/>
      <c r="G907" s="1"/>
    </row>
    <row r="908" spans="3:7" x14ac:dyDescent="0.3">
      <c r="C908" s="1"/>
      <c r="D908" s="1"/>
      <c r="E908" s="1"/>
      <c r="F908" s="1"/>
      <c r="G908" s="1"/>
    </row>
    <row r="909" spans="3:7" x14ac:dyDescent="0.3">
      <c r="C909" s="1"/>
      <c r="D909" s="1"/>
      <c r="E909" s="1"/>
      <c r="F909" s="1"/>
      <c r="G909" s="1"/>
    </row>
    <row r="910" spans="3:7" x14ac:dyDescent="0.3">
      <c r="C910" s="1"/>
      <c r="D910" s="1"/>
      <c r="E910" s="1"/>
      <c r="F910" s="1"/>
      <c r="G910" s="1"/>
    </row>
    <row r="911" spans="3:7" x14ac:dyDescent="0.3">
      <c r="C911" s="1"/>
      <c r="D911" s="1"/>
      <c r="E911" s="1"/>
      <c r="F911" s="1"/>
      <c r="G911" s="1"/>
    </row>
    <row r="912" spans="3:7" x14ac:dyDescent="0.3">
      <c r="C912" s="1"/>
      <c r="D912" s="1"/>
      <c r="E912" s="1"/>
      <c r="F912" s="1"/>
      <c r="G912" s="1"/>
    </row>
    <row r="913" spans="3:7" x14ac:dyDescent="0.3">
      <c r="C913" s="1"/>
      <c r="D913" s="1"/>
      <c r="E913" s="1"/>
      <c r="F913" s="1"/>
      <c r="G913" s="1"/>
    </row>
    <row r="914" spans="3:7" x14ac:dyDescent="0.3">
      <c r="C914" s="1"/>
      <c r="D914" s="1"/>
      <c r="E914" s="1"/>
      <c r="F914" s="1"/>
      <c r="G914" s="1"/>
    </row>
    <row r="915" spans="3:7" x14ac:dyDescent="0.3">
      <c r="C915" s="1"/>
      <c r="D915" s="1"/>
      <c r="E915" s="1"/>
      <c r="F915" s="1"/>
      <c r="G915" s="1"/>
    </row>
    <row r="916" spans="3:7" x14ac:dyDescent="0.3">
      <c r="C916" s="1"/>
      <c r="D916" s="1"/>
      <c r="E916" s="1"/>
      <c r="F916" s="1"/>
      <c r="G916" s="1"/>
    </row>
    <row r="917" spans="3:7" x14ac:dyDescent="0.3">
      <c r="C917" s="1"/>
      <c r="D917" s="1"/>
      <c r="E917" s="1"/>
      <c r="F917" s="1"/>
      <c r="G917" s="1"/>
    </row>
    <row r="918" spans="3:7" x14ac:dyDescent="0.3">
      <c r="C918" s="1"/>
      <c r="D918" s="1"/>
      <c r="E918" s="1"/>
      <c r="F918" s="1"/>
      <c r="G918" s="1"/>
    </row>
    <row r="919" spans="3:7" x14ac:dyDescent="0.3">
      <c r="C919" s="1"/>
      <c r="D919" s="1"/>
      <c r="E919" s="1"/>
      <c r="F919" s="1"/>
      <c r="G919" s="1"/>
    </row>
    <row r="920" spans="3:7" x14ac:dyDescent="0.3">
      <c r="C920" s="1"/>
      <c r="D920" s="1"/>
      <c r="E920" s="1"/>
      <c r="F920" s="1"/>
      <c r="G920" s="1"/>
    </row>
    <row r="921" spans="3:7" x14ac:dyDescent="0.3">
      <c r="C921" s="1"/>
      <c r="D921" s="1"/>
      <c r="E921" s="1"/>
      <c r="F921" s="1"/>
      <c r="G921" s="1"/>
    </row>
    <row r="922" spans="3:7" x14ac:dyDescent="0.3">
      <c r="C922" s="1"/>
      <c r="D922" s="1"/>
      <c r="E922" s="1"/>
      <c r="F922" s="1"/>
      <c r="G922" s="1"/>
    </row>
    <row r="923" spans="3:7" x14ac:dyDescent="0.3">
      <c r="C923" s="1"/>
      <c r="D923" s="1"/>
      <c r="E923" s="1"/>
      <c r="F923" s="1"/>
      <c r="G923" s="1"/>
    </row>
    <row r="924" spans="3:7" x14ac:dyDescent="0.3">
      <c r="C924" s="1"/>
      <c r="D924" s="1"/>
      <c r="E924" s="1"/>
      <c r="F924" s="1"/>
      <c r="G924" s="1"/>
    </row>
    <row r="925" spans="3:7" x14ac:dyDescent="0.3">
      <c r="C925" s="1"/>
      <c r="D925" s="1"/>
      <c r="E925" s="1"/>
      <c r="F925" s="1"/>
      <c r="G925" s="1"/>
    </row>
    <row r="926" spans="3:7" x14ac:dyDescent="0.3">
      <c r="C926" s="1"/>
      <c r="D926" s="1"/>
      <c r="E926" s="1"/>
      <c r="F926" s="1"/>
      <c r="G926" s="1"/>
    </row>
    <row r="927" spans="3:7" x14ac:dyDescent="0.3">
      <c r="C927" s="1"/>
      <c r="D927" s="1"/>
      <c r="E927" s="1"/>
      <c r="F927" s="1"/>
      <c r="G927" s="1"/>
    </row>
    <row r="928" spans="3:7" x14ac:dyDescent="0.3">
      <c r="C928" s="1"/>
      <c r="D928" s="1"/>
      <c r="E928" s="1"/>
      <c r="F928" s="1"/>
      <c r="G928" s="1"/>
    </row>
    <row r="929" spans="3:7" x14ac:dyDescent="0.3">
      <c r="C929" s="1"/>
      <c r="D929" s="1"/>
      <c r="E929" s="1"/>
      <c r="F929" s="1"/>
      <c r="G929" s="1"/>
    </row>
    <row r="930" spans="3:7" x14ac:dyDescent="0.3">
      <c r="C930" s="1"/>
      <c r="D930" s="1"/>
      <c r="E930" s="1"/>
      <c r="F930" s="1"/>
      <c r="G930" s="1"/>
    </row>
    <row r="931" spans="3:7" x14ac:dyDescent="0.3">
      <c r="C931" s="1"/>
      <c r="D931" s="1"/>
      <c r="E931" s="1"/>
      <c r="F931" s="1"/>
      <c r="G931" s="1"/>
    </row>
    <row r="932" spans="3:7" x14ac:dyDescent="0.3">
      <c r="C932" s="1"/>
      <c r="D932" s="1"/>
      <c r="E932" s="1"/>
      <c r="F932" s="1"/>
      <c r="G932" s="1"/>
    </row>
    <row r="933" spans="3:7" x14ac:dyDescent="0.3">
      <c r="C933" s="1"/>
      <c r="D933" s="1"/>
      <c r="E933" s="1"/>
      <c r="F933" s="1"/>
      <c r="G933" s="1"/>
    </row>
    <row r="934" spans="3:7" x14ac:dyDescent="0.3">
      <c r="C934" s="1"/>
      <c r="D934" s="1"/>
      <c r="E934" s="1"/>
      <c r="F934" s="1"/>
      <c r="G934" s="1"/>
    </row>
    <row r="935" spans="3:7" x14ac:dyDescent="0.3">
      <c r="C935" s="1"/>
      <c r="D935" s="1"/>
      <c r="E935" s="1"/>
      <c r="F935" s="1"/>
      <c r="G935" s="1"/>
    </row>
    <row r="936" spans="3:7" x14ac:dyDescent="0.3">
      <c r="C936" s="1"/>
      <c r="D936" s="1"/>
      <c r="E936" s="1"/>
      <c r="F936" s="1"/>
      <c r="G936" s="1"/>
    </row>
    <row r="937" spans="3:7" x14ac:dyDescent="0.3">
      <c r="C937" s="1"/>
      <c r="D937" s="1"/>
      <c r="E937" s="1"/>
      <c r="F937" s="1"/>
      <c r="G937" s="1"/>
    </row>
    <row r="938" spans="3:7" x14ac:dyDescent="0.3">
      <c r="C938" s="1"/>
      <c r="D938" s="1"/>
      <c r="E938" s="1"/>
      <c r="F938" s="1"/>
      <c r="G938" s="1"/>
    </row>
    <row r="939" spans="3:7" x14ac:dyDescent="0.3">
      <c r="C939" s="1"/>
      <c r="D939" s="1"/>
      <c r="E939" s="1"/>
      <c r="F939" s="1"/>
      <c r="G939" s="1"/>
    </row>
    <row r="940" spans="3:7" x14ac:dyDescent="0.3">
      <c r="C940" s="1"/>
      <c r="D940" s="1"/>
      <c r="E940" s="1"/>
      <c r="F940" s="1"/>
      <c r="G940" s="1"/>
    </row>
    <row r="941" spans="3:7" x14ac:dyDescent="0.3">
      <c r="C941" s="1"/>
      <c r="D941" s="1"/>
      <c r="E941" s="1"/>
      <c r="F941" s="1"/>
      <c r="G941" s="1"/>
    </row>
    <row r="942" spans="3:7" x14ac:dyDescent="0.3">
      <c r="C942" s="1"/>
      <c r="D942" s="1"/>
      <c r="E942" s="1"/>
      <c r="F942" s="1"/>
      <c r="G942" s="1"/>
    </row>
    <row r="943" spans="3:7" x14ac:dyDescent="0.3">
      <c r="C943" s="1"/>
      <c r="D943" s="1"/>
      <c r="E943" s="1"/>
      <c r="F943" s="1"/>
      <c r="G943" s="1"/>
    </row>
    <row r="944" spans="3:7" x14ac:dyDescent="0.3">
      <c r="C944" s="1"/>
      <c r="D944" s="1"/>
      <c r="E944" s="1"/>
      <c r="F944" s="1"/>
      <c r="G944" s="1"/>
    </row>
    <row r="945" spans="3:7" x14ac:dyDescent="0.3">
      <c r="C945" s="1"/>
      <c r="D945" s="1"/>
      <c r="E945" s="1"/>
      <c r="F945" s="1"/>
      <c r="G945" s="1"/>
    </row>
    <row r="946" spans="3:7" x14ac:dyDescent="0.3">
      <c r="C946" s="1"/>
      <c r="D946" s="1"/>
      <c r="E946" s="1"/>
      <c r="F946" s="1"/>
      <c r="G946" s="1"/>
    </row>
    <row r="947" spans="3:7" x14ac:dyDescent="0.3">
      <c r="C947" s="1"/>
      <c r="D947" s="1"/>
      <c r="E947" s="1"/>
      <c r="F947" s="1"/>
      <c r="G947" s="1"/>
    </row>
    <row r="948" spans="3:7" x14ac:dyDescent="0.3">
      <c r="C948" s="1"/>
      <c r="D948" s="1"/>
      <c r="E948" s="1"/>
      <c r="F948" s="1"/>
      <c r="G948" s="1"/>
    </row>
    <row r="949" spans="3:7" x14ac:dyDescent="0.3">
      <c r="C949" s="1"/>
      <c r="D949" s="1"/>
      <c r="E949" s="1"/>
      <c r="F949" s="1"/>
      <c r="G949" s="1"/>
    </row>
    <row r="950" spans="3:7" x14ac:dyDescent="0.3">
      <c r="C950" s="1"/>
      <c r="D950" s="1"/>
      <c r="E950" s="1"/>
      <c r="F950" s="1"/>
      <c r="G950" s="1"/>
    </row>
    <row r="951" spans="3:7" x14ac:dyDescent="0.3">
      <c r="C951" s="1"/>
      <c r="D951" s="1"/>
      <c r="E951" s="1"/>
      <c r="F951" s="1"/>
      <c r="G951" s="1"/>
    </row>
    <row r="952" spans="3:7" x14ac:dyDescent="0.3">
      <c r="C952" s="1"/>
      <c r="D952" s="1"/>
      <c r="E952" s="1"/>
      <c r="F952" s="1"/>
      <c r="G952" s="1"/>
    </row>
    <row r="953" spans="3:7" x14ac:dyDescent="0.3">
      <c r="C953" s="1"/>
      <c r="D953" s="1"/>
      <c r="E953" s="1"/>
      <c r="F953" s="1"/>
      <c r="G953" s="1"/>
    </row>
    <row r="954" spans="3:7" x14ac:dyDescent="0.3">
      <c r="C954" s="1"/>
      <c r="D954" s="1"/>
      <c r="E954" s="1"/>
      <c r="F954" s="1"/>
      <c r="G954" s="1"/>
    </row>
    <row r="955" spans="3:7" x14ac:dyDescent="0.3">
      <c r="C955" s="1"/>
      <c r="D955" s="1"/>
      <c r="E955" s="1"/>
      <c r="F955" s="1"/>
      <c r="G955" s="1"/>
    </row>
    <row r="956" spans="3:7" x14ac:dyDescent="0.3">
      <c r="C956" s="1"/>
      <c r="D956" s="1"/>
      <c r="E956" s="1"/>
      <c r="F956" s="1"/>
      <c r="G956" s="1"/>
    </row>
    <row r="957" spans="3:7" x14ac:dyDescent="0.3">
      <c r="C957" s="1"/>
      <c r="D957" s="1"/>
      <c r="E957" s="1"/>
      <c r="F957" s="1"/>
      <c r="G957" s="1"/>
    </row>
    <row r="958" spans="3:7" x14ac:dyDescent="0.3">
      <c r="C958" s="1"/>
      <c r="D958" s="1"/>
      <c r="E958" s="1"/>
      <c r="F958" s="1"/>
      <c r="G958" s="1"/>
    </row>
    <row r="959" spans="3:7" x14ac:dyDescent="0.3">
      <c r="C959" s="1"/>
      <c r="D959" s="1"/>
      <c r="E959" s="1"/>
      <c r="F959" s="1"/>
      <c r="G959" s="1"/>
    </row>
    <row r="960" spans="3:7" x14ac:dyDescent="0.3">
      <c r="C960" s="1"/>
      <c r="D960" s="1"/>
      <c r="E960" s="1"/>
      <c r="F960" s="1"/>
      <c r="G960" s="1"/>
    </row>
    <row r="961" spans="3:7" x14ac:dyDescent="0.3">
      <c r="C961" s="1"/>
      <c r="D961" s="1"/>
      <c r="E961" s="1"/>
      <c r="F961" s="1"/>
      <c r="G961" s="1"/>
    </row>
    <row r="962" spans="3:7" x14ac:dyDescent="0.3">
      <c r="C962" s="1"/>
      <c r="D962" s="1"/>
      <c r="E962" s="1"/>
      <c r="F962" s="1"/>
      <c r="G962" s="1"/>
    </row>
    <row r="963" spans="3:7" x14ac:dyDescent="0.3">
      <c r="C963" s="1"/>
      <c r="D963" s="1"/>
      <c r="E963" s="1"/>
      <c r="F963" s="1"/>
      <c r="G963" s="1"/>
    </row>
    <row r="964" spans="3:7" x14ac:dyDescent="0.3">
      <c r="C964" s="1"/>
      <c r="D964" s="1"/>
      <c r="E964" s="1"/>
      <c r="F964" s="1"/>
      <c r="G964" s="1"/>
    </row>
    <row r="965" spans="3:7" x14ac:dyDescent="0.3">
      <c r="C965" s="1"/>
      <c r="D965" s="1"/>
      <c r="E965" s="1"/>
      <c r="F965" s="1"/>
      <c r="G965" s="1"/>
    </row>
    <row r="966" spans="3:7" x14ac:dyDescent="0.3">
      <c r="C966" s="1"/>
      <c r="D966" s="1"/>
      <c r="E966" s="1"/>
      <c r="F966" s="1"/>
      <c r="G966" s="1"/>
    </row>
    <row r="967" spans="3:7" x14ac:dyDescent="0.3">
      <c r="C967" s="1"/>
      <c r="D967" s="1"/>
      <c r="E967" s="1"/>
      <c r="F967" s="1"/>
      <c r="G967" s="1"/>
    </row>
    <row r="968" spans="3:7" x14ac:dyDescent="0.3">
      <c r="C968" s="1"/>
      <c r="D968" s="1"/>
      <c r="E968" s="1"/>
      <c r="F968" s="1"/>
      <c r="G968" s="1"/>
    </row>
    <row r="969" spans="3:7" x14ac:dyDescent="0.3">
      <c r="C969" s="1"/>
      <c r="D969" s="1"/>
      <c r="E969" s="1"/>
      <c r="F969" s="1"/>
      <c r="G969" s="1"/>
    </row>
    <row r="970" spans="3:7" x14ac:dyDescent="0.3">
      <c r="C970" s="1"/>
      <c r="D970" s="1"/>
      <c r="E970" s="1"/>
      <c r="F970" s="1"/>
      <c r="G970" s="1"/>
    </row>
    <row r="971" spans="3:7" x14ac:dyDescent="0.3">
      <c r="C971" s="1"/>
      <c r="D971" s="1"/>
      <c r="E971" s="1"/>
      <c r="F971" s="1"/>
      <c r="G971" s="1"/>
    </row>
    <row r="972" spans="3:7" x14ac:dyDescent="0.3">
      <c r="C972" s="1"/>
      <c r="D972" s="1"/>
      <c r="E972" s="1"/>
      <c r="F972" s="1"/>
      <c r="G972" s="1"/>
    </row>
    <row r="973" spans="3:7" x14ac:dyDescent="0.3">
      <c r="C973" s="1"/>
      <c r="D973" s="1"/>
      <c r="E973" s="1"/>
      <c r="F973" s="1"/>
      <c r="G973" s="1"/>
    </row>
    <row r="974" spans="3:7" x14ac:dyDescent="0.3">
      <c r="C974" s="1"/>
      <c r="D974" s="1"/>
      <c r="E974" s="1"/>
      <c r="F974" s="1"/>
      <c r="G974" s="1"/>
    </row>
    <row r="975" spans="3:7" x14ac:dyDescent="0.3">
      <c r="C975" s="1"/>
      <c r="D975" s="1"/>
      <c r="E975" s="1"/>
      <c r="F975" s="1"/>
      <c r="G975" s="1"/>
    </row>
    <row r="976" spans="3:7" x14ac:dyDescent="0.3">
      <c r="C976" s="1"/>
      <c r="D976" s="1"/>
      <c r="E976" s="1"/>
      <c r="F976" s="1"/>
      <c r="G976" s="1"/>
    </row>
    <row r="977" spans="3:7" x14ac:dyDescent="0.3">
      <c r="C977" s="1"/>
      <c r="D977" s="1"/>
      <c r="E977" s="1"/>
      <c r="F977" s="1"/>
      <c r="G977" s="1"/>
    </row>
    <row r="978" spans="3:7" x14ac:dyDescent="0.3">
      <c r="C978" s="1"/>
      <c r="D978" s="1"/>
      <c r="E978" s="1"/>
      <c r="F978" s="1"/>
      <c r="G978" s="1"/>
    </row>
    <row r="979" spans="3:7" x14ac:dyDescent="0.3">
      <c r="C979" s="1"/>
      <c r="D979" s="1"/>
      <c r="E979" s="1"/>
      <c r="F979" s="1"/>
      <c r="G979" s="1"/>
    </row>
    <row r="980" spans="3:7" x14ac:dyDescent="0.3">
      <c r="C980" s="1"/>
      <c r="D980" s="1"/>
      <c r="E980" s="1"/>
      <c r="F980" s="1"/>
      <c r="G980" s="1"/>
    </row>
    <row r="981" spans="3:7" x14ac:dyDescent="0.3">
      <c r="C981" s="1"/>
      <c r="D981" s="1"/>
      <c r="E981" s="1"/>
      <c r="F981" s="1"/>
      <c r="G981" s="1"/>
    </row>
    <row r="982" spans="3:7" x14ac:dyDescent="0.3">
      <c r="C982" s="1"/>
      <c r="D982" s="1"/>
      <c r="E982" s="1"/>
      <c r="F982" s="1"/>
      <c r="G982" s="1"/>
    </row>
    <row r="983" spans="3:7" x14ac:dyDescent="0.3">
      <c r="C983" s="1"/>
      <c r="D983" s="1"/>
      <c r="E983" s="1"/>
      <c r="F983" s="1"/>
      <c r="G983" s="1"/>
    </row>
    <row r="984" spans="3:7" x14ac:dyDescent="0.3">
      <c r="C984" s="1"/>
      <c r="D984" s="1"/>
      <c r="E984" s="1"/>
      <c r="F984" s="1"/>
      <c r="G984" s="1"/>
    </row>
    <row r="985" spans="3:7" x14ac:dyDescent="0.3">
      <c r="C985" s="1"/>
      <c r="D985" s="1"/>
      <c r="E985" s="1"/>
      <c r="F985" s="1"/>
      <c r="G985" s="1"/>
    </row>
    <row r="986" spans="3:7" x14ac:dyDescent="0.3">
      <c r="C986" s="1"/>
      <c r="D986" s="1"/>
      <c r="E986" s="1"/>
      <c r="F986" s="1"/>
      <c r="G986" s="1"/>
    </row>
    <row r="987" spans="3:7" x14ac:dyDescent="0.3">
      <c r="C987" s="1"/>
      <c r="D987" s="1"/>
      <c r="E987" s="1"/>
      <c r="F987" s="1"/>
      <c r="G987" s="1"/>
    </row>
    <row r="988" spans="3:7" x14ac:dyDescent="0.3">
      <c r="C988" s="1"/>
      <c r="D988" s="1"/>
      <c r="E988" s="1"/>
      <c r="F988" s="1"/>
      <c r="G988" s="1"/>
    </row>
    <row r="989" spans="3:7" x14ac:dyDescent="0.3">
      <c r="C989" s="1"/>
      <c r="D989" s="1"/>
      <c r="E989" s="1"/>
      <c r="F989" s="1"/>
      <c r="G989" s="1"/>
    </row>
    <row r="990" spans="3:7" x14ac:dyDescent="0.3">
      <c r="C990" s="1"/>
      <c r="D990" s="1"/>
      <c r="E990" s="1"/>
      <c r="F990" s="1"/>
      <c r="G990" s="1"/>
    </row>
    <row r="991" spans="3:7" x14ac:dyDescent="0.3">
      <c r="C991" s="1"/>
      <c r="D991" s="1"/>
      <c r="E991" s="1"/>
      <c r="F991" s="1"/>
      <c r="G991" s="1"/>
    </row>
    <row r="992" spans="3:7" x14ac:dyDescent="0.3">
      <c r="C992" s="1"/>
      <c r="D992" s="1"/>
      <c r="E992" s="1"/>
      <c r="F992" s="1"/>
      <c r="G992" s="1"/>
    </row>
    <row r="993" spans="3:7" x14ac:dyDescent="0.3">
      <c r="C993" s="1"/>
      <c r="D993" s="1"/>
      <c r="E993" s="1"/>
      <c r="F993" s="1"/>
      <c r="G993" s="1"/>
    </row>
    <row r="994" spans="3:7" x14ac:dyDescent="0.3">
      <c r="C994" s="1"/>
      <c r="D994" s="1"/>
      <c r="E994" s="1"/>
      <c r="F994" s="1"/>
      <c r="G994" s="1"/>
    </row>
    <row r="995" spans="3:7" x14ac:dyDescent="0.3">
      <c r="C995" s="1"/>
      <c r="D995" s="1"/>
      <c r="E995" s="1"/>
      <c r="F995" s="1"/>
      <c r="G995" s="1"/>
    </row>
    <row r="996" spans="3:7" x14ac:dyDescent="0.3">
      <c r="C996" s="1"/>
      <c r="D996" s="1"/>
      <c r="E996" s="1"/>
      <c r="F996" s="1"/>
      <c r="G996" s="1"/>
    </row>
    <row r="997" spans="3:7" x14ac:dyDescent="0.3">
      <c r="C997" s="1"/>
      <c r="D997" s="1"/>
      <c r="E997" s="1"/>
      <c r="F997" s="1"/>
      <c r="G997" s="1"/>
    </row>
    <row r="998" spans="3:7" x14ac:dyDescent="0.3">
      <c r="C998" s="1"/>
      <c r="D998" s="1"/>
      <c r="E998" s="1"/>
      <c r="F998" s="1"/>
      <c r="G998" s="1"/>
    </row>
    <row r="999" spans="3:7" x14ac:dyDescent="0.3">
      <c r="C999" s="1"/>
      <c r="D999" s="1"/>
      <c r="E999" s="1"/>
      <c r="F999" s="1"/>
      <c r="G999" s="1"/>
    </row>
    <row r="1000" spans="3:7" x14ac:dyDescent="0.3">
      <c r="C1000" s="1"/>
      <c r="D1000" s="1"/>
      <c r="E1000" s="1"/>
      <c r="F1000" s="1"/>
      <c r="G1000" s="1"/>
    </row>
    <row r="1001" spans="3:7" x14ac:dyDescent="0.3">
      <c r="C1001" s="1"/>
      <c r="D1001" s="1"/>
      <c r="E1001" s="1"/>
      <c r="F1001" s="1"/>
      <c r="G1001" s="1"/>
    </row>
    <row r="1002" spans="3:7" x14ac:dyDescent="0.3">
      <c r="C1002" s="1"/>
      <c r="D1002" s="1"/>
      <c r="E1002" s="1"/>
      <c r="F1002" s="1"/>
      <c r="G1002" s="1"/>
    </row>
    <row r="1003" spans="3:7" x14ac:dyDescent="0.3">
      <c r="C1003" s="1"/>
      <c r="D1003" s="1"/>
      <c r="E1003" s="1"/>
      <c r="F1003" s="1"/>
      <c r="G1003" s="1"/>
    </row>
    <row r="1004" spans="3:7" x14ac:dyDescent="0.3">
      <c r="C1004" s="1"/>
      <c r="D1004" s="1"/>
      <c r="E1004" s="1"/>
      <c r="F1004" s="1"/>
      <c r="G1004" s="1"/>
    </row>
    <row r="1005" spans="3:7" x14ac:dyDescent="0.3">
      <c r="C1005" s="1"/>
      <c r="D1005" s="1"/>
      <c r="E1005" s="1"/>
      <c r="F1005" s="1"/>
      <c r="G1005" s="1"/>
    </row>
    <row r="1006" spans="3:7" x14ac:dyDescent="0.3">
      <c r="C1006" s="1"/>
      <c r="D1006" s="1"/>
      <c r="E1006" s="1"/>
      <c r="F1006" s="1"/>
      <c r="G1006" s="1"/>
    </row>
    <row r="1007" spans="3:7" x14ac:dyDescent="0.3">
      <c r="C1007" s="1"/>
      <c r="D1007" s="1"/>
      <c r="E1007" s="1"/>
      <c r="F1007" s="1"/>
      <c r="G1007" s="1"/>
    </row>
    <row r="1008" spans="3:7" x14ac:dyDescent="0.3">
      <c r="C1008" s="1"/>
      <c r="D1008" s="1"/>
      <c r="E1008" s="1"/>
      <c r="F1008" s="1"/>
      <c r="G1008" s="1"/>
    </row>
    <row r="1009" spans="3:7" x14ac:dyDescent="0.3">
      <c r="C1009" s="1"/>
      <c r="D1009" s="1"/>
      <c r="E1009" s="1"/>
      <c r="F1009" s="1"/>
      <c r="G1009" s="1"/>
    </row>
    <row r="1010" spans="3:7" x14ac:dyDescent="0.3">
      <c r="C1010" s="1"/>
      <c r="D1010" s="1"/>
      <c r="E1010" s="1"/>
      <c r="F1010" s="1"/>
      <c r="G1010" s="1"/>
    </row>
    <row r="1011" spans="3:7" x14ac:dyDescent="0.3">
      <c r="C1011" s="1"/>
      <c r="D1011" s="1"/>
      <c r="E1011" s="1"/>
      <c r="F1011" s="1"/>
      <c r="G1011" s="1"/>
    </row>
    <row r="1012" spans="3:7" x14ac:dyDescent="0.3">
      <c r="C1012" s="1"/>
      <c r="D1012" s="1"/>
      <c r="E1012" s="1"/>
      <c r="F1012" s="1"/>
      <c r="G1012" s="1"/>
    </row>
    <row r="1013" spans="3:7" x14ac:dyDescent="0.3">
      <c r="C1013" s="1"/>
      <c r="D1013" s="1"/>
      <c r="E1013" s="1"/>
      <c r="F1013" s="1"/>
      <c r="G1013" s="1"/>
    </row>
    <row r="1014" spans="3:7" x14ac:dyDescent="0.3">
      <c r="C1014" s="1"/>
      <c r="D1014" s="1"/>
      <c r="E1014" s="1"/>
      <c r="F1014" s="1"/>
      <c r="G1014" s="1"/>
    </row>
    <row r="1015" spans="3:7" x14ac:dyDescent="0.3">
      <c r="C1015" s="1"/>
      <c r="D1015" s="1"/>
      <c r="E1015" s="1"/>
      <c r="F1015" s="1"/>
      <c r="G1015" s="1"/>
    </row>
    <row r="1016" spans="3:7" x14ac:dyDescent="0.3">
      <c r="C1016" s="1"/>
      <c r="D1016" s="1"/>
      <c r="E1016" s="1"/>
      <c r="F1016" s="1"/>
      <c r="G1016" s="1"/>
    </row>
    <row r="1017" spans="3:7" x14ac:dyDescent="0.3">
      <c r="C1017" s="1"/>
      <c r="D1017" s="1"/>
      <c r="E1017" s="1"/>
      <c r="F1017" s="1"/>
      <c r="G1017" s="1"/>
    </row>
    <row r="1018" spans="3:7" x14ac:dyDescent="0.3">
      <c r="C1018" s="1"/>
      <c r="D1018" s="1"/>
      <c r="E1018" s="1"/>
      <c r="F1018" s="1"/>
      <c r="G1018" s="1"/>
    </row>
    <row r="1019" spans="3:7" x14ac:dyDescent="0.3">
      <c r="C1019" s="1"/>
      <c r="D1019" s="1"/>
      <c r="E1019" s="1"/>
      <c r="F1019" s="1"/>
      <c r="G1019" s="1"/>
    </row>
    <row r="1020" spans="3:7" x14ac:dyDescent="0.3">
      <c r="C1020" s="1"/>
      <c r="D1020" s="1"/>
      <c r="E1020" s="1"/>
      <c r="F1020" s="1"/>
      <c r="G1020" s="1"/>
    </row>
    <row r="1021" spans="3:7" x14ac:dyDescent="0.3">
      <c r="C1021" s="1"/>
      <c r="D1021" s="1"/>
      <c r="E1021" s="1"/>
      <c r="F1021" s="1"/>
      <c r="G1021" s="1"/>
    </row>
    <row r="1022" spans="3:7" x14ac:dyDescent="0.3">
      <c r="C1022" s="1"/>
      <c r="D1022" s="1"/>
      <c r="E1022" s="1"/>
      <c r="F1022" s="1"/>
      <c r="G1022" s="1"/>
    </row>
    <row r="1023" spans="3:7" x14ac:dyDescent="0.3">
      <c r="C1023" s="1"/>
      <c r="D1023" s="1"/>
      <c r="E1023" s="1"/>
      <c r="F1023" s="1"/>
      <c r="G1023" s="1"/>
    </row>
    <row r="1024" spans="3:7" x14ac:dyDescent="0.3">
      <c r="C1024" s="1"/>
      <c r="D1024" s="1"/>
      <c r="E1024" s="1"/>
      <c r="F1024" s="1"/>
      <c r="G1024" s="1"/>
    </row>
    <row r="1025" spans="3:7" x14ac:dyDescent="0.3">
      <c r="C1025" s="1"/>
      <c r="D1025" s="1"/>
      <c r="E1025" s="1"/>
      <c r="F1025" s="1"/>
      <c r="G1025" s="1"/>
    </row>
    <row r="1026" spans="3:7" x14ac:dyDescent="0.3">
      <c r="C1026" s="1"/>
      <c r="D1026" s="1"/>
      <c r="E1026" s="1"/>
      <c r="F1026" s="1"/>
      <c r="G1026" s="1"/>
    </row>
    <row r="1027" spans="3:7" x14ac:dyDescent="0.3">
      <c r="C1027" s="1"/>
      <c r="D1027" s="1"/>
      <c r="E1027" s="1"/>
      <c r="F1027" s="1"/>
      <c r="G1027" s="1"/>
    </row>
    <row r="1028" spans="3:7" x14ac:dyDescent="0.3">
      <c r="C1028" s="1"/>
      <c r="D1028" s="1"/>
      <c r="E1028" s="1"/>
      <c r="F1028" s="1"/>
      <c r="G1028" s="1"/>
    </row>
    <row r="1029" spans="3:7" x14ac:dyDescent="0.3">
      <c r="C1029" s="1"/>
      <c r="D1029" s="1"/>
      <c r="E1029" s="1"/>
      <c r="F1029" s="1"/>
      <c r="G1029" s="1"/>
    </row>
    <row r="1030" spans="3:7" x14ac:dyDescent="0.3">
      <c r="C1030" s="1"/>
      <c r="D1030" s="1"/>
      <c r="E1030" s="1"/>
      <c r="F1030" s="1"/>
      <c r="G1030" s="1"/>
    </row>
    <row r="1031" spans="3:7" x14ac:dyDescent="0.3">
      <c r="C1031" s="1"/>
      <c r="D1031" s="1"/>
      <c r="E1031" s="1"/>
      <c r="F1031" s="1"/>
      <c r="G1031" s="1"/>
    </row>
    <row r="1032" spans="3:7" x14ac:dyDescent="0.3">
      <c r="C1032" s="1"/>
      <c r="D1032" s="1"/>
      <c r="E1032" s="1"/>
      <c r="F1032" s="1"/>
      <c r="G1032" s="1"/>
    </row>
    <row r="1033" spans="3:7" x14ac:dyDescent="0.3">
      <c r="C1033" s="1"/>
      <c r="D1033" s="1"/>
      <c r="E1033" s="1"/>
      <c r="F1033" s="1"/>
      <c r="G1033" s="1"/>
    </row>
    <row r="1034" spans="3:7" x14ac:dyDescent="0.3">
      <c r="C1034" s="1"/>
      <c r="D1034" s="1"/>
      <c r="E1034" s="1"/>
      <c r="F1034" s="1"/>
      <c r="G1034" s="1"/>
    </row>
    <row r="1035" spans="3:7" x14ac:dyDescent="0.3">
      <c r="C1035" s="1"/>
      <c r="D1035" s="1"/>
      <c r="E1035" s="1"/>
      <c r="F1035" s="1"/>
      <c r="G1035" s="1"/>
    </row>
    <row r="1036" spans="3:7" x14ac:dyDescent="0.3">
      <c r="C1036" s="1"/>
      <c r="D1036" s="1"/>
      <c r="E1036" s="1"/>
      <c r="F1036" s="1"/>
      <c r="G1036" s="1"/>
    </row>
    <row r="1037" spans="3:7" x14ac:dyDescent="0.3">
      <c r="C1037" s="1"/>
      <c r="D1037" s="1"/>
      <c r="E1037" s="1"/>
      <c r="F1037" s="1"/>
      <c r="G1037" s="1"/>
    </row>
    <row r="1038" spans="3:7" x14ac:dyDescent="0.3">
      <c r="C1038" s="1"/>
      <c r="D1038" s="1"/>
      <c r="E1038" s="1"/>
      <c r="F1038" s="1"/>
      <c r="G1038" s="1"/>
    </row>
    <row r="1039" spans="3:7" x14ac:dyDescent="0.3">
      <c r="C1039" s="1"/>
      <c r="D1039" s="1"/>
      <c r="E1039" s="1"/>
      <c r="F1039" s="1"/>
      <c r="G1039" s="1"/>
    </row>
    <row r="1040" spans="3:7" x14ac:dyDescent="0.3">
      <c r="C1040" s="1"/>
      <c r="D1040" s="1"/>
      <c r="E1040" s="1"/>
      <c r="F1040" s="1"/>
      <c r="G1040" s="1"/>
    </row>
    <row r="1041" spans="3:7" x14ac:dyDescent="0.3">
      <c r="C1041" s="1"/>
      <c r="D1041" s="1"/>
      <c r="E1041" s="1"/>
      <c r="F1041" s="1"/>
      <c r="G1041" s="1"/>
    </row>
    <row r="1042" spans="3:7" x14ac:dyDescent="0.3">
      <c r="C1042" s="1"/>
      <c r="D1042" s="1"/>
      <c r="E1042" s="1"/>
      <c r="F1042" s="1"/>
      <c r="G1042" s="1"/>
    </row>
    <row r="1043" spans="3:7" x14ac:dyDescent="0.3">
      <c r="C1043" s="1"/>
      <c r="D1043" s="1"/>
      <c r="E1043" s="1"/>
      <c r="F1043" s="1"/>
      <c r="G1043" s="1"/>
    </row>
    <row r="1044" spans="3:7" x14ac:dyDescent="0.3">
      <c r="C1044" s="1"/>
      <c r="D1044" s="1"/>
      <c r="E1044" s="1"/>
      <c r="F1044" s="1"/>
      <c r="G1044" s="1"/>
    </row>
    <row r="1045" spans="3:7" x14ac:dyDescent="0.3">
      <c r="C1045" s="1"/>
      <c r="D1045" s="1"/>
      <c r="E1045" s="1"/>
      <c r="F1045" s="1"/>
      <c r="G1045" s="1"/>
    </row>
    <row r="1046" spans="3:7" x14ac:dyDescent="0.3">
      <c r="C1046" s="1"/>
      <c r="D1046" s="1"/>
      <c r="E1046" s="1"/>
      <c r="F1046" s="1"/>
      <c r="G1046" s="1"/>
    </row>
    <row r="1047" spans="3:7" x14ac:dyDescent="0.3">
      <c r="C1047" s="1"/>
      <c r="D1047" s="1"/>
      <c r="E1047" s="1"/>
      <c r="F1047" s="1"/>
      <c r="G1047" s="1"/>
    </row>
    <row r="1048" spans="3:7" x14ac:dyDescent="0.3">
      <c r="C1048" s="1"/>
      <c r="D1048" s="1"/>
      <c r="E1048" s="1"/>
      <c r="F1048" s="1"/>
      <c r="G1048" s="1"/>
    </row>
    <row r="1049" spans="3:7" x14ac:dyDescent="0.3">
      <c r="C1049" s="1"/>
      <c r="D1049" s="1"/>
      <c r="E1049" s="1"/>
      <c r="F1049" s="1"/>
      <c r="G1049" s="1"/>
    </row>
    <row r="1050" spans="3:7" x14ac:dyDescent="0.3">
      <c r="C1050" s="1"/>
      <c r="D1050" s="1"/>
      <c r="E1050" s="1"/>
      <c r="F1050" s="1"/>
      <c r="G1050" s="1"/>
    </row>
    <row r="1051" spans="3:7" x14ac:dyDescent="0.3">
      <c r="C1051" s="1"/>
      <c r="D1051" s="1"/>
      <c r="E1051" s="1"/>
      <c r="F1051" s="1"/>
      <c r="G1051" s="1"/>
    </row>
    <row r="1052" spans="3:7" x14ac:dyDescent="0.3">
      <c r="C1052" s="1"/>
      <c r="D1052" s="1"/>
      <c r="E1052" s="1"/>
      <c r="F1052" s="1"/>
      <c r="G1052" s="1"/>
    </row>
    <row r="1053" spans="3:7" x14ac:dyDescent="0.3">
      <c r="C1053" s="1"/>
      <c r="D1053" s="1"/>
      <c r="E1053" s="1"/>
      <c r="F1053" s="1"/>
      <c r="G1053" s="1"/>
    </row>
    <row r="1054" spans="3:7" x14ac:dyDescent="0.3">
      <c r="C1054" s="1"/>
      <c r="D1054" s="1"/>
      <c r="E1054" s="1"/>
      <c r="F1054" s="1"/>
      <c r="G1054" s="1"/>
    </row>
    <row r="1055" spans="3:7" x14ac:dyDescent="0.3">
      <c r="C1055" s="1"/>
      <c r="D1055" s="1"/>
      <c r="E1055" s="1"/>
      <c r="F1055" s="1"/>
      <c r="G1055" s="1"/>
    </row>
    <row r="1056" spans="3:7" x14ac:dyDescent="0.3">
      <c r="C1056" s="1"/>
      <c r="D1056" s="1"/>
      <c r="E1056" s="1"/>
      <c r="F1056" s="1"/>
      <c r="G1056" s="1"/>
    </row>
    <row r="1057" spans="3:7" x14ac:dyDescent="0.3">
      <c r="C1057" s="1"/>
      <c r="D1057" s="1"/>
      <c r="E1057" s="1"/>
      <c r="F1057" s="1"/>
      <c r="G1057" s="1"/>
    </row>
    <row r="1058" spans="3:7" x14ac:dyDescent="0.3">
      <c r="C1058" s="1"/>
      <c r="D1058" s="1"/>
      <c r="E1058" s="1"/>
      <c r="F1058" s="1"/>
      <c r="G1058" s="1"/>
    </row>
    <row r="1059" spans="3:7" x14ac:dyDescent="0.3">
      <c r="C1059" s="1"/>
      <c r="D1059" s="1"/>
      <c r="E1059" s="1"/>
      <c r="F1059" s="1"/>
      <c r="G1059" s="1"/>
    </row>
    <row r="1060" spans="3:7" x14ac:dyDescent="0.3">
      <c r="C1060" s="1"/>
      <c r="D1060" s="1"/>
      <c r="E1060" s="1"/>
      <c r="F1060" s="1"/>
      <c r="G1060" s="1"/>
    </row>
    <row r="1061" spans="3:7" x14ac:dyDescent="0.3">
      <c r="C1061" s="1"/>
      <c r="D1061" s="1"/>
      <c r="E1061" s="1"/>
      <c r="F1061" s="1"/>
      <c r="G1061" s="1"/>
    </row>
  </sheetData>
  <mergeCells count="44">
    <mergeCell ref="I325:I352"/>
    <mergeCell ref="I7:I30"/>
    <mergeCell ref="H80:H104"/>
    <mergeCell ref="F2:F3"/>
    <mergeCell ref="H2:H3"/>
    <mergeCell ref="H140:H172"/>
    <mergeCell ref="I80:I104"/>
    <mergeCell ref="H297:H324"/>
    <mergeCell ref="I269:I296"/>
    <mergeCell ref="I140:I172"/>
    <mergeCell ref="H55:H79"/>
    <mergeCell ref="I208:I240"/>
    <mergeCell ref="H325:H352"/>
    <mergeCell ref="J325:J352"/>
    <mergeCell ref="H241:H268"/>
    <mergeCell ref="J241:J268"/>
    <mergeCell ref="H7:H30"/>
    <mergeCell ref="H208:H240"/>
    <mergeCell ref="H105:H139"/>
    <mergeCell ref="I297:I324"/>
    <mergeCell ref="I173:I207"/>
    <mergeCell ref="J173:J207"/>
    <mergeCell ref="J31:J54"/>
    <mergeCell ref="J105:J139"/>
    <mergeCell ref="I241:I268"/>
    <mergeCell ref="I31:I54"/>
    <mergeCell ref="J55:J79"/>
    <mergeCell ref="I105:I139"/>
    <mergeCell ref="J297:J324"/>
    <mergeCell ref="H269:H296"/>
    <mergeCell ref="I55:I79"/>
    <mergeCell ref="B1:J1"/>
    <mergeCell ref="H173:H207"/>
    <mergeCell ref="D2:D3"/>
    <mergeCell ref="H31:H54"/>
    <mergeCell ref="E2:E3"/>
    <mergeCell ref="I2:J3"/>
    <mergeCell ref="G2:G3"/>
    <mergeCell ref="J7:J30"/>
    <mergeCell ref="J269:J296"/>
    <mergeCell ref="J208:J240"/>
    <mergeCell ref="J80:J104"/>
    <mergeCell ref="B2:C3"/>
    <mergeCell ref="J140:J17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196" t="s">
        <v>117</v>
      </c>
      <c r="B1" s="149"/>
      <c r="C1" s="149"/>
      <c r="D1" s="149"/>
      <c r="E1" s="149"/>
      <c r="F1" s="149"/>
      <c r="G1" s="149"/>
      <c r="H1" s="149"/>
      <c r="I1" s="149"/>
      <c r="J1" s="170"/>
    </row>
    <row r="2" spans="1:11" x14ac:dyDescent="0.3">
      <c r="A2" s="10"/>
      <c r="B2" s="11" t="s">
        <v>118</v>
      </c>
      <c r="C2" s="12" t="s">
        <v>119</v>
      </c>
      <c r="D2" s="12" t="s">
        <v>120</v>
      </c>
      <c r="E2" s="12" t="s">
        <v>121</v>
      </c>
      <c r="F2" s="12" t="s">
        <v>122</v>
      </c>
      <c r="G2" s="12" t="s">
        <v>123</v>
      </c>
      <c r="H2" s="12" t="s">
        <v>124</v>
      </c>
      <c r="I2" s="12" t="s">
        <v>125</v>
      </c>
      <c r="J2" s="13" t="s">
        <v>126</v>
      </c>
    </row>
    <row r="3" spans="1:11" ht="277.2" customHeight="1" x14ac:dyDescent="0.3">
      <c r="A3" s="14">
        <v>1</v>
      </c>
      <c r="B3" s="96" t="s">
        <v>127</v>
      </c>
      <c r="C3" s="16" t="s">
        <v>128</v>
      </c>
      <c r="D3" s="17" t="s">
        <v>129</v>
      </c>
      <c r="E3" s="17" t="s">
        <v>130</v>
      </c>
      <c r="F3" s="17" t="s">
        <v>131</v>
      </c>
      <c r="G3" s="18" t="s">
        <v>132</v>
      </c>
      <c r="H3" s="18" t="s">
        <v>133</v>
      </c>
      <c r="I3" s="17" t="s">
        <v>134</v>
      </c>
      <c r="J3" s="19" t="s">
        <v>135</v>
      </c>
    </row>
    <row r="4" spans="1:11" ht="277.2" customHeight="1" x14ac:dyDescent="0.3">
      <c r="A4" s="14"/>
      <c r="B4" s="20"/>
      <c r="C4" s="16"/>
      <c r="D4" s="17"/>
      <c r="E4" s="17"/>
      <c r="F4" s="17"/>
      <c r="G4" s="18"/>
      <c r="H4" s="18"/>
      <c r="I4" s="17"/>
      <c r="J4" s="19"/>
    </row>
    <row r="5" spans="1:11" ht="277.2" customHeight="1" x14ac:dyDescent="0.3">
      <c r="A5" s="14"/>
      <c r="B5" s="21"/>
      <c r="C5" s="16"/>
      <c r="D5" s="17"/>
      <c r="E5" s="17"/>
      <c r="F5" s="17"/>
      <c r="G5" s="18"/>
      <c r="H5" s="18"/>
      <c r="I5" s="17"/>
      <c r="J5" s="19"/>
    </row>
    <row r="6" spans="1:11" ht="277.2" customHeight="1" x14ac:dyDescent="0.3">
      <c r="A6" s="14"/>
      <c r="B6" s="22"/>
      <c r="C6" s="16"/>
      <c r="D6" s="17"/>
      <c r="E6" s="17"/>
      <c r="F6" s="17"/>
      <c r="G6" s="18"/>
      <c r="H6" s="18"/>
      <c r="I6" s="17"/>
      <c r="J6" s="19"/>
    </row>
    <row r="7" spans="1:11" ht="277.2" customHeight="1" x14ac:dyDescent="0.3">
      <c r="A7" s="14"/>
      <c r="B7" s="23"/>
      <c r="C7" s="16"/>
      <c r="D7" s="17"/>
      <c r="E7" s="17"/>
      <c r="F7" s="17"/>
      <c r="G7" s="18"/>
      <c r="H7" s="18"/>
      <c r="I7" s="17"/>
      <c r="J7" s="19"/>
    </row>
    <row r="8" spans="1:11" ht="290.39999999999998" customHeight="1" x14ac:dyDescent="0.3">
      <c r="A8" s="14"/>
      <c r="B8" s="24"/>
      <c r="C8" s="16"/>
      <c r="D8" s="17"/>
      <c r="E8" s="17"/>
      <c r="F8" s="17"/>
      <c r="G8" s="18"/>
      <c r="H8" s="18"/>
      <c r="I8" s="17"/>
      <c r="J8" s="19"/>
    </row>
    <row r="9" spans="1:11" ht="290.39999999999998" customHeight="1" x14ac:dyDescent="0.3">
      <c r="A9" s="14"/>
      <c r="B9" s="15"/>
      <c r="C9" s="16"/>
      <c r="D9" s="17"/>
      <c r="E9" s="17"/>
      <c r="F9" s="17"/>
      <c r="G9" s="18"/>
      <c r="H9" s="18"/>
      <c r="I9" s="17"/>
      <c r="J9" s="19"/>
    </row>
    <row r="10" spans="1:11" ht="290.39999999999998" customHeight="1" x14ac:dyDescent="0.3">
      <c r="A10" s="14"/>
      <c r="B10" s="25"/>
      <c r="C10" s="16"/>
      <c r="D10" s="17"/>
      <c r="E10" s="17"/>
      <c r="F10" s="17"/>
      <c r="G10" s="18"/>
      <c r="H10" s="18"/>
      <c r="I10" s="17"/>
      <c r="J10" s="19"/>
    </row>
    <row r="11" spans="1:11" ht="264" customHeight="1" x14ac:dyDescent="0.3">
      <c r="A11" s="14"/>
      <c r="B11" s="26"/>
      <c r="C11" s="16"/>
      <c r="D11" s="17"/>
      <c r="E11" s="17"/>
      <c r="F11" s="17"/>
      <c r="G11" s="18"/>
      <c r="H11" s="18"/>
      <c r="I11" s="17"/>
      <c r="J11" s="19"/>
    </row>
    <row r="12" spans="1:11" ht="264" customHeight="1" x14ac:dyDescent="0.3">
      <c r="A12" s="14"/>
      <c r="B12" s="27"/>
      <c r="C12" s="16"/>
      <c r="D12" s="17"/>
      <c r="E12" s="17"/>
      <c r="F12" s="17"/>
      <c r="G12" s="18"/>
      <c r="H12" s="18"/>
      <c r="I12" s="17"/>
      <c r="J12" s="19"/>
    </row>
    <row r="13" spans="1:11" ht="264" customHeight="1" x14ac:dyDescent="0.3">
      <c r="A13" s="14"/>
      <c r="B13" s="28"/>
      <c r="C13" s="16"/>
      <c r="D13" s="17"/>
      <c r="E13" s="17"/>
      <c r="F13" s="17"/>
      <c r="G13" s="18"/>
      <c r="H13" s="18"/>
      <c r="I13" s="17"/>
      <c r="J13" s="19"/>
    </row>
    <row r="14" spans="1:11" ht="264" customHeight="1" x14ac:dyDescent="0.3">
      <c r="A14" s="14"/>
      <c r="B14" s="29"/>
      <c r="C14" s="16"/>
      <c r="D14" s="17"/>
      <c r="E14" s="17"/>
      <c r="F14" s="17"/>
      <c r="G14" s="18"/>
      <c r="H14" s="18"/>
      <c r="I14" s="17"/>
      <c r="J14" s="19"/>
    </row>
    <row r="15" spans="1:11" ht="303.60000000000002" customHeight="1" x14ac:dyDescent="0.3">
      <c r="A15" s="14"/>
      <c r="B15" s="30"/>
      <c r="C15" s="16"/>
      <c r="D15" s="17"/>
      <c r="E15" s="17"/>
      <c r="F15" s="17"/>
      <c r="G15" s="18"/>
      <c r="H15" s="18"/>
      <c r="I15" s="17"/>
      <c r="J15" s="19"/>
      <c r="K15" s="31"/>
    </row>
    <row r="16" spans="1:11" ht="277.2" customHeight="1" x14ac:dyDescent="0.3">
      <c r="A16" s="14"/>
      <c r="B16" s="25"/>
      <c r="C16" s="16"/>
      <c r="D16" s="17"/>
      <c r="E16" s="17"/>
      <c r="F16" s="17"/>
      <c r="G16" s="18"/>
      <c r="H16" s="18"/>
      <c r="I16" s="17"/>
      <c r="J16" s="19"/>
    </row>
    <row r="17" spans="1:10" ht="290.39999999999998" customHeight="1" x14ac:dyDescent="0.3">
      <c r="A17" s="14"/>
      <c r="B17" s="26"/>
      <c r="C17" s="16"/>
      <c r="D17" s="17"/>
      <c r="E17" s="17"/>
      <c r="F17" s="17"/>
      <c r="G17" s="18"/>
      <c r="H17" s="18"/>
      <c r="I17" s="17"/>
      <c r="J17" s="19"/>
    </row>
    <row r="18" spans="1:10" ht="290.39999999999998" customHeight="1" x14ac:dyDescent="0.3">
      <c r="A18" s="14"/>
      <c r="B18" s="27"/>
      <c r="C18" s="16"/>
      <c r="D18" s="17"/>
      <c r="E18" s="17"/>
      <c r="F18" s="17"/>
      <c r="G18" s="18"/>
      <c r="H18" s="18"/>
      <c r="I18" s="17"/>
      <c r="J18" s="19"/>
    </row>
    <row r="19" spans="1:10" ht="290.39999999999998" customHeight="1" x14ac:dyDescent="0.3">
      <c r="A19" s="14"/>
      <c r="B19" s="28"/>
      <c r="C19" s="16"/>
      <c r="D19" s="17"/>
      <c r="E19" s="17"/>
      <c r="F19" s="17"/>
      <c r="G19" s="18"/>
      <c r="H19" s="18"/>
      <c r="I19" s="17"/>
      <c r="J19" s="19"/>
    </row>
    <row r="20" spans="1:10" ht="290.39999999999998" customHeight="1" x14ac:dyDescent="0.3">
      <c r="A20" s="14"/>
      <c r="B20" s="29"/>
      <c r="C20" s="16"/>
      <c r="D20" s="17"/>
      <c r="E20" s="17"/>
      <c r="F20" s="17"/>
      <c r="G20" s="18"/>
      <c r="H20" s="18"/>
      <c r="I20" s="17"/>
      <c r="J20" s="19"/>
    </row>
    <row r="21" spans="1:10" ht="291" customHeight="1" thickBot="1" x14ac:dyDescent="0.35">
      <c r="A21" s="32"/>
      <c r="B21" s="33"/>
      <c r="C21" s="34"/>
      <c r="D21" s="35"/>
      <c r="E21" s="35"/>
      <c r="F21" s="35"/>
      <c r="G21" s="36"/>
      <c r="H21" s="36"/>
      <c r="I21" s="35"/>
      <c r="J21" s="37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196" t="s">
        <v>117</v>
      </c>
      <c r="B1" s="149"/>
      <c r="C1" s="149"/>
      <c r="D1" s="149"/>
      <c r="E1" s="149"/>
      <c r="F1" s="149"/>
      <c r="G1" s="149"/>
      <c r="H1" s="149"/>
      <c r="I1" s="149"/>
      <c r="J1" s="170"/>
    </row>
    <row r="2" spans="1:11" x14ac:dyDescent="0.3">
      <c r="A2" s="10"/>
      <c r="B2" s="11" t="s">
        <v>118</v>
      </c>
      <c r="C2" s="12" t="s">
        <v>136</v>
      </c>
      <c r="D2" s="12" t="s">
        <v>137</v>
      </c>
      <c r="E2" s="12" t="s">
        <v>138</v>
      </c>
      <c r="F2" s="12" t="s">
        <v>139</v>
      </c>
      <c r="G2" s="12" t="s">
        <v>140</v>
      </c>
      <c r="H2" s="12" t="s">
        <v>141</v>
      </c>
      <c r="I2" s="12" t="s">
        <v>142</v>
      </c>
      <c r="J2" s="13" t="s">
        <v>143</v>
      </c>
    </row>
    <row r="3" spans="1:11" ht="277.2" customHeight="1" x14ac:dyDescent="0.3">
      <c r="A3" s="14">
        <v>2</v>
      </c>
      <c r="B3" s="96" t="s">
        <v>144</v>
      </c>
      <c r="C3" s="16" t="s">
        <v>145</v>
      </c>
      <c r="D3" s="17" t="s">
        <v>146</v>
      </c>
      <c r="E3" s="17" t="s">
        <v>147</v>
      </c>
      <c r="F3" s="17" t="s">
        <v>132</v>
      </c>
      <c r="G3" s="18" t="s">
        <v>148</v>
      </c>
      <c r="H3" s="18" t="s">
        <v>149</v>
      </c>
      <c r="I3" s="17" t="s">
        <v>129</v>
      </c>
      <c r="J3" s="19" t="s">
        <v>150</v>
      </c>
    </row>
    <row r="4" spans="1:11" ht="277.2" customHeight="1" x14ac:dyDescent="0.3">
      <c r="A4" s="14"/>
      <c r="B4" s="20"/>
      <c r="C4" s="16"/>
      <c r="D4" s="17"/>
      <c r="E4" s="17"/>
      <c r="F4" s="17"/>
      <c r="G4" s="18"/>
      <c r="H4" s="18"/>
      <c r="I4" s="17"/>
      <c r="J4" s="19"/>
    </row>
    <row r="5" spans="1:11" ht="277.2" customHeight="1" x14ac:dyDescent="0.3">
      <c r="A5" s="14"/>
      <c r="B5" s="21"/>
      <c r="C5" s="16"/>
      <c r="D5" s="17"/>
      <c r="E5" s="17"/>
      <c r="F5" s="17"/>
      <c r="G5" s="18"/>
      <c r="H5" s="18"/>
      <c r="I5" s="17"/>
      <c r="J5" s="19"/>
    </row>
    <row r="6" spans="1:11" ht="277.2" customHeight="1" x14ac:dyDescent="0.3">
      <c r="A6" s="14"/>
      <c r="B6" s="22"/>
      <c r="C6" s="16"/>
      <c r="D6" s="17"/>
      <c r="E6" s="17"/>
      <c r="F6" s="17"/>
      <c r="G6" s="18"/>
      <c r="H6" s="18"/>
      <c r="I6" s="17"/>
      <c r="J6" s="19"/>
    </row>
    <row r="7" spans="1:11" ht="277.2" customHeight="1" x14ac:dyDescent="0.3">
      <c r="A7" s="14"/>
      <c r="B7" s="23"/>
      <c r="C7" s="16"/>
      <c r="D7" s="17"/>
      <c r="E7" s="17"/>
      <c r="F7" s="17"/>
      <c r="G7" s="18"/>
      <c r="H7" s="18"/>
      <c r="I7" s="17"/>
      <c r="J7" s="19"/>
    </row>
    <row r="8" spans="1:11" ht="290.39999999999998" customHeight="1" x14ac:dyDescent="0.3">
      <c r="A8" s="14"/>
      <c r="B8" s="24"/>
      <c r="C8" s="16"/>
      <c r="D8" s="17"/>
      <c r="E8" s="17"/>
      <c r="F8" s="17"/>
      <c r="G8" s="18"/>
      <c r="H8" s="18"/>
      <c r="I8" s="17"/>
      <c r="J8" s="19"/>
    </row>
    <row r="9" spans="1:11" ht="290.39999999999998" customHeight="1" x14ac:dyDescent="0.3">
      <c r="A9" s="14"/>
      <c r="B9" s="15"/>
      <c r="C9" s="16"/>
      <c r="D9" s="17"/>
      <c r="E9" s="17"/>
      <c r="F9" s="17"/>
      <c r="G9" s="18"/>
      <c r="H9" s="18"/>
      <c r="I9" s="17"/>
      <c r="J9" s="19"/>
    </row>
    <row r="10" spans="1:11" ht="290.39999999999998" customHeight="1" x14ac:dyDescent="0.3">
      <c r="A10" s="14"/>
      <c r="B10" s="25"/>
      <c r="C10" s="16"/>
      <c r="D10" s="17"/>
      <c r="E10" s="17"/>
      <c r="F10" s="17"/>
      <c r="G10" s="18"/>
      <c r="H10" s="18"/>
      <c r="I10" s="17"/>
      <c r="J10" s="19"/>
    </row>
    <row r="11" spans="1:11" ht="264" customHeight="1" x14ac:dyDescent="0.3">
      <c r="A11" s="14"/>
      <c r="B11" s="26"/>
      <c r="C11" s="16"/>
      <c r="D11" s="17"/>
      <c r="E11" s="17"/>
      <c r="F11" s="17"/>
      <c r="G11" s="18"/>
      <c r="H11" s="18"/>
      <c r="I11" s="17"/>
      <c r="J11" s="19"/>
    </row>
    <row r="12" spans="1:11" ht="264" customHeight="1" x14ac:dyDescent="0.3">
      <c r="A12" s="14"/>
      <c r="B12" s="27"/>
      <c r="C12" s="16"/>
      <c r="D12" s="17"/>
      <c r="E12" s="17"/>
      <c r="F12" s="17"/>
      <c r="G12" s="18"/>
      <c r="H12" s="18"/>
      <c r="I12" s="17"/>
      <c r="J12" s="19"/>
    </row>
    <row r="13" spans="1:11" ht="264" customHeight="1" x14ac:dyDescent="0.3">
      <c r="A13" s="14"/>
      <c r="B13" s="28"/>
      <c r="C13" s="16"/>
      <c r="D13" s="17"/>
      <c r="E13" s="17"/>
      <c r="F13" s="17"/>
      <c r="G13" s="18"/>
      <c r="H13" s="18"/>
      <c r="I13" s="17"/>
      <c r="J13" s="19"/>
    </row>
    <row r="14" spans="1:11" ht="264" customHeight="1" x14ac:dyDescent="0.3">
      <c r="A14" s="14"/>
      <c r="B14" s="29"/>
      <c r="C14" s="16"/>
      <c r="D14" s="17"/>
      <c r="E14" s="17"/>
      <c r="F14" s="17"/>
      <c r="G14" s="18"/>
      <c r="H14" s="18"/>
      <c r="I14" s="17"/>
      <c r="J14" s="19"/>
    </row>
    <row r="15" spans="1:11" ht="303.60000000000002" customHeight="1" x14ac:dyDescent="0.3">
      <c r="A15" s="14"/>
      <c r="B15" s="30"/>
      <c r="C15" s="16"/>
      <c r="D15" s="17"/>
      <c r="E15" s="17"/>
      <c r="F15" s="17"/>
      <c r="G15" s="18"/>
      <c r="H15" s="18"/>
      <c r="I15" s="17"/>
      <c r="J15" s="19"/>
      <c r="K15" s="31"/>
    </row>
    <row r="16" spans="1:11" ht="277.2" customHeight="1" x14ac:dyDescent="0.3">
      <c r="A16" s="14"/>
      <c r="B16" s="25"/>
      <c r="C16" s="16"/>
      <c r="D16" s="17"/>
      <c r="E16" s="17"/>
      <c r="F16" s="17"/>
      <c r="G16" s="18"/>
      <c r="H16" s="18"/>
      <c r="I16" s="17"/>
      <c r="J16" s="19"/>
    </row>
    <row r="17" spans="1:10" ht="290.39999999999998" customHeight="1" x14ac:dyDescent="0.3">
      <c r="A17" s="14"/>
      <c r="B17" s="26"/>
      <c r="C17" s="16"/>
      <c r="D17" s="17"/>
      <c r="E17" s="17"/>
      <c r="F17" s="17"/>
      <c r="G17" s="18"/>
      <c r="H17" s="18"/>
      <c r="I17" s="17"/>
      <c r="J17" s="19"/>
    </row>
    <row r="18" spans="1:10" ht="290.39999999999998" customHeight="1" x14ac:dyDescent="0.3">
      <c r="A18" s="14"/>
      <c r="B18" s="27"/>
      <c r="C18" s="16"/>
      <c r="D18" s="17"/>
      <c r="E18" s="17"/>
      <c r="F18" s="17"/>
      <c r="G18" s="18"/>
      <c r="H18" s="18"/>
      <c r="I18" s="17"/>
      <c r="J18" s="19"/>
    </row>
    <row r="19" spans="1:10" ht="290.39999999999998" customHeight="1" x14ac:dyDescent="0.3">
      <c r="A19" s="14"/>
      <c r="B19" s="28"/>
      <c r="C19" s="16"/>
      <c r="D19" s="17"/>
      <c r="E19" s="17"/>
      <c r="F19" s="17"/>
      <c r="G19" s="18"/>
      <c r="H19" s="18"/>
      <c r="I19" s="17"/>
      <c r="J19" s="19"/>
    </row>
    <row r="20" spans="1:10" ht="290.39999999999998" customHeight="1" x14ac:dyDescent="0.3">
      <c r="A20" s="14"/>
      <c r="B20" s="29"/>
      <c r="C20" s="16"/>
      <c r="D20" s="17"/>
      <c r="E20" s="17"/>
      <c r="F20" s="17"/>
      <c r="G20" s="18"/>
      <c r="H20" s="18"/>
      <c r="I20" s="17"/>
      <c r="J20" s="19"/>
    </row>
    <row r="21" spans="1:10" ht="291" customHeight="1" thickBot="1" x14ac:dyDescent="0.35">
      <c r="A21" s="32"/>
      <c r="B21" s="33"/>
      <c r="C21" s="34"/>
      <c r="D21" s="35"/>
      <c r="E21" s="35"/>
      <c r="F21" s="35"/>
      <c r="G21" s="36"/>
      <c r="H21" s="36"/>
      <c r="I21" s="35"/>
      <c r="J21" s="37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selection sqref="A1:J1"/>
    </sheetView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196" t="s">
        <v>117</v>
      </c>
      <c r="B1" s="149"/>
      <c r="C1" s="149"/>
      <c r="D1" s="149"/>
      <c r="E1" s="149"/>
      <c r="F1" s="149"/>
      <c r="G1" s="149"/>
      <c r="H1" s="149"/>
      <c r="I1" s="149"/>
      <c r="J1" s="170"/>
    </row>
    <row r="2" spans="1:11" x14ac:dyDescent="0.3">
      <c r="A2" s="10"/>
      <c r="B2" s="11" t="s">
        <v>118</v>
      </c>
      <c r="C2" s="12" t="s">
        <v>141</v>
      </c>
      <c r="D2" s="12" t="s">
        <v>142</v>
      </c>
      <c r="E2" s="12" t="s">
        <v>143</v>
      </c>
      <c r="F2" s="12" t="s">
        <v>151</v>
      </c>
      <c r="G2" s="12" t="s">
        <v>152</v>
      </c>
      <c r="H2" s="12" t="s">
        <v>153</v>
      </c>
      <c r="I2" s="12" t="s">
        <v>154</v>
      </c>
      <c r="J2" s="13" t="s">
        <v>155</v>
      </c>
    </row>
    <row r="3" spans="1:11" ht="277.2" customHeight="1" x14ac:dyDescent="0.3">
      <c r="A3" s="14">
        <v>3</v>
      </c>
      <c r="B3" s="96" t="s">
        <v>156</v>
      </c>
      <c r="C3" s="16" t="s">
        <v>157</v>
      </c>
      <c r="D3" s="17" t="s">
        <v>129</v>
      </c>
      <c r="E3" s="17" t="s">
        <v>132</v>
      </c>
      <c r="F3" s="17" t="s">
        <v>158</v>
      </c>
      <c r="G3" s="18" t="s">
        <v>146</v>
      </c>
      <c r="H3" s="18" t="s">
        <v>147</v>
      </c>
      <c r="I3" s="17" t="s">
        <v>148</v>
      </c>
      <c r="J3" s="19" t="s">
        <v>159</v>
      </c>
    </row>
    <row r="4" spans="1:11" ht="277.2" customHeight="1" x14ac:dyDescent="0.3">
      <c r="A4" s="14">
        <v>4</v>
      </c>
      <c r="B4" s="97" t="s">
        <v>160</v>
      </c>
      <c r="C4" s="16" t="s">
        <v>161</v>
      </c>
      <c r="D4" s="17" t="s">
        <v>129</v>
      </c>
      <c r="E4" s="17" t="s">
        <v>132</v>
      </c>
      <c r="F4" s="17" t="s">
        <v>158</v>
      </c>
      <c r="G4" s="18" t="s">
        <v>146</v>
      </c>
      <c r="H4" s="18" t="s">
        <v>147</v>
      </c>
      <c r="I4" s="17" t="s">
        <v>148</v>
      </c>
      <c r="J4" s="19" t="s">
        <v>162</v>
      </c>
    </row>
    <row r="5" spans="1:11" ht="277.2" customHeight="1" x14ac:dyDescent="0.3">
      <c r="A5" s="14">
        <v>5</v>
      </c>
      <c r="B5" s="98" t="s">
        <v>163</v>
      </c>
      <c r="C5" s="16" t="s">
        <v>161</v>
      </c>
      <c r="D5" s="17" t="s">
        <v>129</v>
      </c>
      <c r="E5" s="17" t="s">
        <v>132</v>
      </c>
      <c r="F5" s="17" t="s">
        <v>158</v>
      </c>
      <c r="G5" s="18" t="s">
        <v>146</v>
      </c>
      <c r="H5" s="18" t="s">
        <v>147</v>
      </c>
      <c r="I5" s="17" t="s">
        <v>148</v>
      </c>
      <c r="J5" s="19" t="s">
        <v>162</v>
      </c>
    </row>
    <row r="6" spans="1:11" ht="277.2" customHeight="1" x14ac:dyDescent="0.3">
      <c r="A6" s="14">
        <v>6</v>
      </c>
      <c r="B6" s="99" t="s">
        <v>164</v>
      </c>
      <c r="C6" s="16" t="s">
        <v>157</v>
      </c>
      <c r="D6" s="17" t="s">
        <v>129</v>
      </c>
      <c r="E6" s="17" t="s">
        <v>132</v>
      </c>
      <c r="F6" s="17" t="s">
        <v>158</v>
      </c>
      <c r="G6" s="18" t="s">
        <v>146</v>
      </c>
      <c r="H6" s="18" t="s">
        <v>147</v>
      </c>
      <c r="I6" s="17" t="s">
        <v>148</v>
      </c>
      <c r="J6" s="19" t="s">
        <v>159</v>
      </c>
    </row>
    <row r="7" spans="1:11" ht="277.2" customHeight="1" x14ac:dyDescent="0.3">
      <c r="A7" s="14">
        <v>7</v>
      </c>
      <c r="B7" s="100" t="s">
        <v>165</v>
      </c>
      <c r="C7" s="16" t="s">
        <v>157</v>
      </c>
      <c r="D7" s="17" t="s">
        <v>129</v>
      </c>
      <c r="E7" s="17" t="s">
        <v>132</v>
      </c>
      <c r="F7" s="17" t="s">
        <v>158</v>
      </c>
      <c r="G7" s="18" t="s">
        <v>146</v>
      </c>
      <c r="H7" s="18" t="s">
        <v>147</v>
      </c>
      <c r="I7" s="17" t="s">
        <v>148</v>
      </c>
      <c r="J7" s="19" t="s">
        <v>159</v>
      </c>
    </row>
    <row r="8" spans="1:11" ht="277.2" customHeight="1" x14ac:dyDescent="0.3">
      <c r="A8" s="14">
        <v>8</v>
      </c>
      <c r="B8" s="101" t="s">
        <v>166</v>
      </c>
      <c r="C8" s="16" t="s">
        <v>161</v>
      </c>
      <c r="D8" s="17" t="s">
        <v>129</v>
      </c>
      <c r="E8" s="17" t="s">
        <v>132</v>
      </c>
      <c r="F8" s="17" t="s">
        <v>158</v>
      </c>
      <c r="G8" s="18" t="s">
        <v>146</v>
      </c>
      <c r="H8" s="18" t="s">
        <v>147</v>
      </c>
      <c r="I8" s="17" t="s">
        <v>148</v>
      </c>
      <c r="J8" s="19" t="s">
        <v>162</v>
      </c>
    </row>
    <row r="9" spans="1:11" ht="290.39999999999998" customHeight="1" x14ac:dyDescent="0.3">
      <c r="A9" s="14"/>
      <c r="B9" s="15"/>
      <c r="C9" s="16"/>
      <c r="D9" s="17"/>
      <c r="E9" s="17"/>
      <c r="F9" s="17"/>
      <c r="G9" s="18"/>
      <c r="H9" s="18"/>
      <c r="I9" s="17"/>
      <c r="J9" s="19"/>
    </row>
    <row r="10" spans="1:11" ht="290.39999999999998" customHeight="1" x14ac:dyDescent="0.3">
      <c r="A10" s="14"/>
      <c r="B10" s="25"/>
      <c r="C10" s="16"/>
      <c r="D10" s="17"/>
      <c r="E10" s="17"/>
      <c r="F10" s="17"/>
      <c r="G10" s="18"/>
      <c r="H10" s="18"/>
      <c r="I10" s="17"/>
      <c r="J10" s="19"/>
    </row>
    <row r="11" spans="1:11" ht="264" customHeight="1" x14ac:dyDescent="0.3">
      <c r="A11" s="14"/>
      <c r="B11" s="26"/>
      <c r="C11" s="16"/>
      <c r="D11" s="17"/>
      <c r="E11" s="17"/>
      <c r="F11" s="17"/>
      <c r="G11" s="18"/>
      <c r="H11" s="18"/>
      <c r="I11" s="17"/>
      <c r="J11" s="19"/>
    </row>
    <row r="12" spans="1:11" ht="264" customHeight="1" x14ac:dyDescent="0.3">
      <c r="A12" s="14"/>
      <c r="B12" s="27"/>
      <c r="C12" s="16"/>
      <c r="D12" s="17"/>
      <c r="E12" s="17"/>
      <c r="F12" s="17"/>
      <c r="G12" s="18"/>
      <c r="H12" s="18"/>
      <c r="I12" s="17"/>
      <c r="J12" s="19"/>
    </row>
    <row r="13" spans="1:11" ht="264" customHeight="1" x14ac:dyDescent="0.3">
      <c r="A13" s="14"/>
      <c r="B13" s="28"/>
      <c r="C13" s="16"/>
      <c r="D13" s="17"/>
      <c r="E13" s="17"/>
      <c r="F13" s="17"/>
      <c r="G13" s="18"/>
      <c r="H13" s="18"/>
      <c r="I13" s="17"/>
      <c r="J13" s="19"/>
    </row>
    <row r="14" spans="1:11" ht="264" customHeight="1" x14ac:dyDescent="0.3">
      <c r="A14" s="14"/>
      <c r="B14" s="29"/>
      <c r="C14" s="16"/>
      <c r="D14" s="17"/>
      <c r="E14" s="17"/>
      <c r="F14" s="17"/>
      <c r="G14" s="18"/>
      <c r="H14" s="18"/>
      <c r="I14" s="17"/>
      <c r="J14" s="19"/>
    </row>
    <row r="15" spans="1:11" ht="303.60000000000002" customHeight="1" x14ac:dyDescent="0.3">
      <c r="A15" s="14"/>
      <c r="B15" s="30"/>
      <c r="C15" s="16"/>
      <c r="D15" s="17"/>
      <c r="E15" s="17"/>
      <c r="F15" s="17"/>
      <c r="G15" s="18"/>
      <c r="H15" s="18"/>
      <c r="I15" s="17"/>
      <c r="J15" s="19"/>
      <c r="K15" s="31"/>
    </row>
    <row r="16" spans="1:11" ht="277.2" customHeight="1" x14ac:dyDescent="0.3">
      <c r="A16" s="14"/>
      <c r="B16" s="25"/>
      <c r="C16" s="16"/>
      <c r="D16" s="17"/>
      <c r="E16" s="17"/>
      <c r="F16" s="17"/>
      <c r="G16" s="18"/>
      <c r="H16" s="18"/>
      <c r="I16" s="17"/>
      <c r="J16" s="19"/>
    </row>
    <row r="17" spans="1:10" ht="290.39999999999998" customHeight="1" x14ac:dyDescent="0.3">
      <c r="A17" s="14"/>
      <c r="B17" s="26"/>
      <c r="C17" s="16"/>
      <c r="D17" s="17"/>
      <c r="E17" s="17"/>
      <c r="F17" s="17"/>
      <c r="G17" s="18"/>
      <c r="H17" s="18"/>
      <c r="I17" s="17"/>
      <c r="J17" s="19"/>
    </row>
    <row r="18" spans="1:10" ht="290.39999999999998" customHeight="1" x14ac:dyDescent="0.3">
      <c r="A18" s="14"/>
      <c r="B18" s="27"/>
      <c r="C18" s="16"/>
      <c r="D18" s="17"/>
      <c r="E18" s="17"/>
      <c r="F18" s="17"/>
      <c r="G18" s="18"/>
      <c r="H18" s="18"/>
      <c r="I18" s="17"/>
      <c r="J18" s="19"/>
    </row>
    <row r="19" spans="1:10" ht="290.39999999999998" customHeight="1" x14ac:dyDescent="0.3">
      <c r="A19" s="14"/>
      <c r="B19" s="28"/>
      <c r="C19" s="16"/>
      <c r="D19" s="17"/>
      <c r="E19" s="17"/>
      <c r="F19" s="17"/>
      <c r="G19" s="18"/>
      <c r="H19" s="18"/>
      <c r="I19" s="17"/>
      <c r="J19" s="19"/>
    </row>
    <row r="20" spans="1:10" ht="290.39999999999998" customHeight="1" x14ac:dyDescent="0.3">
      <c r="A20" s="14"/>
      <c r="B20" s="29"/>
      <c r="C20" s="16"/>
      <c r="D20" s="17"/>
      <c r="E20" s="17"/>
      <c r="F20" s="17"/>
      <c r="G20" s="18"/>
      <c r="H20" s="18"/>
      <c r="I20" s="17"/>
      <c r="J20" s="19"/>
    </row>
    <row r="21" spans="1:10" ht="291" customHeight="1" thickBot="1" x14ac:dyDescent="0.35">
      <c r="A21" s="32"/>
      <c r="B21" s="33"/>
      <c r="C21" s="34"/>
      <c r="D21" s="35"/>
      <c r="E21" s="35"/>
      <c r="F21" s="35"/>
      <c r="G21" s="36"/>
      <c r="H21" s="36"/>
      <c r="I21" s="35"/>
      <c r="J21" s="37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196" t="s">
        <v>117</v>
      </c>
      <c r="B1" s="149"/>
      <c r="C1" s="149"/>
      <c r="D1" s="149"/>
      <c r="E1" s="149"/>
      <c r="F1" s="149"/>
      <c r="G1" s="149"/>
      <c r="H1" s="149"/>
      <c r="I1" s="149"/>
      <c r="J1" s="170"/>
    </row>
    <row r="2" spans="1:11" x14ac:dyDescent="0.3">
      <c r="A2" s="10"/>
      <c r="B2" s="11" t="s">
        <v>118</v>
      </c>
      <c r="C2" s="12" t="s">
        <v>155</v>
      </c>
      <c r="D2" s="12" t="s">
        <v>167</v>
      </c>
      <c r="E2" s="12" t="s">
        <v>168</v>
      </c>
      <c r="F2" s="12" t="s">
        <v>169</v>
      </c>
      <c r="G2" s="12" t="s">
        <v>170</v>
      </c>
      <c r="H2" s="12" t="s">
        <v>171</v>
      </c>
      <c r="I2" s="12" t="s">
        <v>172</v>
      </c>
      <c r="J2" s="13" t="s">
        <v>173</v>
      </c>
    </row>
    <row r="3" spans="1:11" ht="277.2" customHeight="1" x14ac:dyDescent="0.3">
      <c r="A3" s="14">
        <v>9</v>
      </c>
      <c r="B3" s="96" t="s">
        <v>174</v>
      </c>
      <c r="C3" s="16" t="s">
        <v>175</v>
      </c>
      <c r="D3" s="17" t="s">
        <v>176</v>
      </c>
      <c r="E3" s="17" t="s">
        <v>177</v>
      </c>
      <c r="F3" s="17" t="s">
        <v>178</v>
      </c>
      <c r="G3" s="18" t="s">
        <v>179</v>
      </c>
      <c r="H3" s="18" t="s">
        <v>180</v>
      </c>
      <c r="I3" s="17" t="s">
        <v>181</v>
      </c>
      <c r="J3" s="19" t="s">
        <v>182</v>
      </c>
    </row>
    <row r="4" spans="1:11" ht="277.2" customHeight="1" x14ac:dyDescent="0.3">
      <c r="A4" s="14">
        <v>10</v>
      </c>
      <c r="B4" s="97" t="s">
        <v>183</v>
      </c>
      <c r="C4" s="16" t="s">
        <v>161</v>
      </c>
      <c r="D4" s="17" t="s">
        <v>176</v>
      </c>
      <c r="E4" s="17" t="s">
        <v>177</v>
      </c>
      <c r="F4" s="17" t="s">
        <v>178</v>
      </c>
      <c r="G4" s="18" t="s">
        <v>179</v>
      </c>
      <c r="H4" s="18" t="s">
        <v>180</v>
      </c>
      <c r="I4" s="17" t="s">
        <v>181</v>
      </c>
      <c r="J4" s="19" t="s">
        <v>162</v>
      </c>
    </row>
    <row r="5" spans="1:11" ht="277.2" customHeight="1" x14ac:dyDescent="0.3">
      <c r="A5" s="14">
        <v>11</v>
      </c>
      <c r="B5" s="98" t="s">
        <v>184</v>
      </c>
      <c r="C5" s="16" t="s">
        <v>161</v>
      </c>
      <c r="D5" s="17" t="s">
        <v>176</v>
      </c>
      <c r="E5" s="17" t="s">
        <v>177</v>
      </c>
      <c r="F5" s="17" t="s">
        <v>178</v>
      </c>
      <c r="G5" s="18" t="s">
        <v>179</v>
      </c>
      <c r="H5" s="18" t="s">
        <v>180</v>
      </c>
      <c r="I5" s="17" t="s">
        <v>181</v>
      </c>
      <c r="J5" s="19" t="s">
        <v>162</v>
      </c>
    </row>
    <row r="6" spans="1:11" ht="277.2" customHeight="1" x14ac:dyDescent="0.3">
      <c r="A6" s="14">
        <v>12</v>
      </c>
      <c r="B6" s="99" t="s">
        <v>185</v>
      </c>
      <c r="C6" s="16" t="s">
        <v>186</v>
      </c>
      <c r="D6" s="17" t="s">
        <v>176</v>
      </c>
      <c r="E6" s="17" t="s">
        <v>177</v>
      </c>
      <c r="F6" s="17" t="s">
        <v>178</v>
      </c>
      <c r="G6" s="18" t="s">
        <v>179</v>
      </c>
      <c r="H6" s="18" t="s">
        <v>180</v>
      </c>
      <c r="I6" s="17" t="s">
        <v>181</v>
      </c>
      <c r="J6" s="19" t="s">
        <v>187</v>
      </c>
    </row>
    <row r="7" spans="1:11" ht="277.2" customHeight="1" x14ac:dyDescent="0.3">
      <c r="A7" s="14">
        <v>13</v>
      </c>
      <c r="B7" s="100" t="s">
        <v>188</v>
      </c>
      <c r="C7" s="16" t="s">
        <v>186</v>
      </c>
      <c r="D7" s="17" t="s">
        <v>176</v>
      </c>
      <c r="E7" s="17" t="s">
        <v>177</v>
      </c>
      <c r="F7" s="17" t="s">
        <v>178</v>
      </c>
      <c r="G7" s="18" t="s">
        <v>179</v>
      </c>
      <c r="H7" s="18" t="s">
        <v>180</v>
      </c>
      <c r="I7" s="17" t="s">
        <v>181</v>
      </c>
      <c r="J7" s="19" t="s">
        <v>187</v>
      </c>
    </row>
    <row r="8" spans="1:11" ht="277.2" customHeight="1" x14ac:dyDescent="0.3">
      <c r="A8" s="14">
        <v>14</v>
      </c>
      <c r="B8" s="101" t="s">
        <v>189</v>
      </c>
      <c r="C8" s="16" t="s">
        <v>175</v>
      </c>
      <c r="D8" s="17" t="s">
        <v>176</v>
      </c>
      <c r="E8" s="17" t="s">
        <v>177</v>
      </c>
      <c r="F8" s="17" t="s">
        <v>178</v>
      </c>
      <c r="G8" s="18" t="s">
        <v>179</v>
      </c>
      <c r="H8" s="18" t="s">
        <v>180</v>
      </c>
      <c r="I8" s="17" t="s">
        <v>181</v>
      </c>
      <c r="J8" s="19" t="s">
        <v>182</v>
      </c>
    </row>
    <row r="9" spans="1:11" ht="277.2" customHeight="1" x14ac:dyDescent="0.3">
      <c r="A9" s="14">
        <v>15</v>
      </c>
      <c r="B9" s="96" t="s">
        <v>190</v>
      </c>
      <c r="C9" s="16" t="s">
        <v>161</v>
      </c>
      <c r="D9" s="17" t="s">
        <v>176</v>
      </c>
      <c r="E9" s="17" t="s">
        <v>177</v>
      </c>
      <c r="F9" s="17" t="s">
        <v>178</v>
      </c>
      <c r="G9" s="18" t="s">
        <v>179</v>
      </c>
      <c r="H9" s="18" t="s">
        <v>180</v>
      </c>
      <c r="I9" s="17" t="s">
        <v>181</v>
      </c>
      <c r="J9" s="19" t="s">
        <v>162</v>
      </c>
    </row>
    <row r="10" spans="1:11" ht="277.2" customHeight="1" x14ac:dyDescent="0.3">
      <c r="A10" s="14">
        <v>16</v>
      </c>
      <c r="B10" s="102" t="s">
        <v>191</v>
      </c>
      <c r="C10" s="16" t="s">
        <v>175</v>
      </c>
      <c r="D10" s="17" t="s">
        <v>176</v>
      </c>
      <c r="E10" s="17" t="s">
        <v>177</v>
      </c>
      <c r="F10" s="17" t="s">
        <v>178</v>
      </c>
      <c r="G10" s="18" t="s">
        <v>179</v>
      </c>
      <c r="H10" s="18" t="s">
        <v>180</v>
      </c>
      <c r="I10" s="17" t="s">
        <v>181</v>
      </c>
      <c r="J10" s="19" t="s">
        <v>182</v>
      </c>
    </row>
    <row r="11" spans="1:11" ht="277.2" customHeight="1" x14ac:dyDescent="0.3">
      <c r="A11" s="14">
        <v>17</v>
      </c>
      <c r="B11" s="103" t="s">
        <v>192</v>
      </c>
      <c r="C11" s="16" t="s">
        <v>175</v>
      </c>
      <c r="D11" s="17" t="s">
        <v>176</v>
      </c>
      <c r="E11" s="17" t="s">
        <v>177</v>
      </c>
      <c r="F11" s="17" t="s">
        <v>178</v>
      </c>
      <c r="G11" s="18" t="s">
        <v>179</v>
      </c>
      <c r="H11" s="18" t="s">
        <v>180</v>
      </c>
      <c r="I11" s="17" t="s">
        <v>181</v>
      </c>
      <c r="J11" s="19" t="s">
        <v>182</v>
      </c>
    </row>
    <row r="12" spans="1:11" ht="277.2" customHeight="1" x14ac:dyDescent="0.3">
      <c r="A12" s="14">
        <v>18</v>
      </c>
      <c r="B12" s="104" t="s">
        <v>193</v>
      </c>
      <c r="C12" s="16" t="s">
        <v>161</v>
      </c>
      <c r="D12" s="17" t="s">
        <v>176</v>
      </c>
      <c r="E12" s="17" t="s">
        <v>177</v>
      </c>
      <c r="F12" s="17" t="s">
        <v>178</v>
      </c>
      <c r="G12" s="18" t="s">
        <v>179</v>
      </c>
      <c r="H12" s="18" t="s">
        <v>180</v>
      </c>
      <c r="I12" s="17" t="s">
        <v>181</v>
      </c>
      <c r="J12" s="19" t="s">
        <v>162</v>
      </c>
    </row>
    <row r="13" spans="1:11" ht="277.2" customHeight="1" x14ac:dyDescent="0.3">
      <c r="A13" s="14">
        <v>20</v>
      </c>
      <c r="B13" s="105" t="s">
        <v>194</v>
      </c>
      <c r="C13" s="16" t="s">
        <v>186</v>
      </c>
      <c r="D13" s="17" t="s">
        <v>176</v>
      </c>
      <c r="E13" s="17" t="s">
        <v>177</v>
      </c>
      <c r="F13" s="17" t="s">
        <v>178</v>
      </c>
      <c r="G13" s="18" t="s">
        <v>179</v>
      </c>
      <c r="H13" s="18" t="s">
        <v>180</v>
      </c>
      <c r="I13" s="17" t="s">
        <v>181</v>
      </c>
      <c r="J13" s="19" t="s">
        <v>187</v>
      </c>
    </row>
    <row r="14" spans="1:11" ht="277.2" customHeight="1" x14ac:dyDescent="0.3">
      <c r="A14" s="14">
        <v>21</v>
      </c>
      <c r="B14" s="106" t="s">
        <v>195</v>
      </c>
      <c r="C14" s="16" t="s">
        <v>157</v>
      </c>
      <c r="D14" s="17" t="s">
        <v>176</v>
      </c>
      <c r="E14" s="17" t="s">
        <v>177</v>
      </c>
      <c r="F14" s="17" t="s">
        <v>178</v>
      </c>
      <c r="G14" s="18" t="s">
        <v>179</v>
      </c>
      <c r="H14" s="18" t="s">
        <v>180</v>
      </c>
      <c r="I14" s="17" t="s">
        <v>181</v>
      </c>
      <c r="J14" s="19" t="s">
        <v>159</v>
      </c>
    </row>
    <row r="15" spans="1:11" ht="277.2" customHeight="1" x14ac:dyDescent="0.3">
      <c r="A15" s="14">
        <v>22</v>
      </c>
      <c r="B15" s="107" t="s">
        <v>196</v>
      </c>
      <c r="C15" s="16" t="s">
        <v>157</v>
      </c>
      <c r="D15" s="17" t="s">
        <v>176</v>
      </c>
      <c r="E15" s="17" t="s">
        <v>177</v>
      </c>
      <c r="F15" s="17" t="s">
        <v>178</v>
      </c>
      <c r="G15" s="18" t="s">
        <v>179</v>
      </c>
      <c r="H15" s="18" t="s">
        <v>180</v>
      </c>
      <c r="I15" s="17" t="s">
        <v>181</v>
      </c>
      <c r="J15" s="19" t="s">
        <v>159</v>
      </c>
      <c r="K15" s="31"/>
    </row>
    <row r="16" spans="1:11" ht="277.2" customHeight="1" x14ac:dyDescent="0.3">
      <c r="A16" s="14">
        <v>23</v>
      </c>
      <c r="B16" s="102" t="s">
        <v>197</v>
      </c>
      <c r="C16" s="16" t="s">
        <v>175</v>
      </c>
      <c r="D16" s="17" t="s">
        <v>176</v>
      </c>
      <c r="E16" s="17" t="s">
        <v>177</v>
      </c>
      <c r="F16" s="17" t="s">
        <v>178</v>
      </c>
      <c r="G16" s="18" t="s">
        <v>179</v>
      </c>
      <c r="H16" s="18" t="s">
        <v>180</v>
      </c>
      <c r="I16" s="17" t="s">
        <v>181</v>
      </c>
      <c r="J16" s="19" t="s">
        <v>182</v>
      </c>
    </row>
    <row r="17" spans="1:10" ht="277.2" customHeight="1" x14ac:dyDescent="0.3">
      <c r="A17" s="14">
        <v>24</v>
      </c>
      <c r="B17" s="103" t="s">
        <v>198</v>
      </c>
      <c r="C17" s="16" t="s">
        <v>161</v>
      </c>
      <c r="D17" s="17" t="s">
        <v>176</v>
      </c>
      <c r="E17" s="17" t="s">
        <v>177</v>
      </c>
      <c r="F17" s="17" t="s">
        <v>178</v>
      </c>
      <c r="G17" s="18" t="s">
        <v>179</v>
      </c>
      <c r="H17" s="18" t="s">
        <v>180</v>
      </c>
      <c r="I17" s="17" t="s">
        <v>181</v>
      </c>
      <c r="J17" s="19" t="s">
        <v>162</v>
      </c>
    </row>
    <row r="18" spans="1:10" ht="277.2" customHeight="1" x14ac:dyDescent="0.3">
      <c r="A18" s="14">
        <v>25</v>
      </c>
      <c r="B18" s="104" t="s">
        <v>199</v>
      </c>
      <c r="C18" s="16" t="s">
        <v>157</v>
      </c>
      <c r="D18" s="17" t="s">
        <v>176</v>
      </c>
      <c r="E18" s="17" t="s">
        <v>177</v>
      </c>
      <c r="F18" s="17" t="s">
        <v>178</v>
      </c>
      <c r="G18" s="18" t="s">
        <v>179</v>
      </c>
      <c r="H18" s="18" t="s">
        <v>180</v>
      </c>
      <c r="I18" s="17" t="s">
        <v>181</v>
      </c>
      <c r="J18" s="19" t="s">
        <v>159</v>
      </c>
    </row>
    <row r="19" spans="1:10" ht="277.2" customHeight="1" x14ac:dyDescent="0.3">
      <c r="A19" s="14">
        <v>26</v>
      </c>
      <c r="B19" s="105" t="s">
        <v>200</v>
      </c>
      <c r="C19" s="16" t="s">
        <v>161</v>
      </c>
      <c r="D19" s="17" t="s">
        <v>176</v>
      </c>
      <c r="E19" s="17" t="s">
        <v>177</v>
      </c>
      <c r="F19" s="17" t="s">
        <v>178</v>
      </c>
      <c r="G19" s="18" t="s">
        <v>179</v>
      </c>
      <c r="H19" s="18" t="s">
        <v>180</v>
      </c>
      <c r="I19" s="17" t="s">
        <v>181</v>
      </c>
      <c r="J19" s="19" t="s">
        <v>162</v>
      </c>
    </row>
    <row r="20" spans="1:10" ht="277.2" customHeight="1" x14ac:dyDescent="0.3">
      <c r="A20" s="14">
        <v>27</v>
      </c>
      <c r="B20" s="106" t="s">
        <v>201</v>
      </c>
      <c r="C20" s="16" t="s">
        <v>161</v>
      </c>
      <c r="D20" s="17" t="s">
        <v>176</v>
      </c>
      <c r="E20" s="17" t="s">
        <v>177</v>
      </c>
      <c r="F20" s="17" t="s">
        <v>178</v>
      </c>
      <c r="G20" s="18" t="s">
        <v>179</v>
      </c>
      <c r="H20" s="18" t="s">
        <v>180</v>
      </c>
      <c r="I20" s="17" t="s">
        <v>181</v>
      </c>
      <c r="J20" s="19" t="s">
        <v>162</v>
      </c>
    </row>
    <row r="21" spans="1:10" ht="277.2" customHeight="1" thickBot="1" x14ac:dyDescent="0.35">
      <c r="A21" s="32">
        <v>28</v>
      </c>
      <c r="B21" s="108" t="s">
        <v>202</v>
      </c>
      <c r="C21" s="34" t="s">
        <v>175</v>
      </c>
      <c r="D21" s="35" t="s">
        <v>176</v>
      </c>
      <c r="E21" s="35" t="s">
        <v>177</v>
      </c>
      <c r="F21" s="35" t="s">
        <v>178</v>
      </c>
      <c r="G21" s="36" t="s">
        <v>179</v>
      </c>
      <c r="H21" s="36" t="s">
        <v>180</v>
      </c>
      <c r="I21" s="35" t="s">
        <v>181</v>
      </c>
      <c r="J21" s="37" t="s">
        <v>182</v>
      </c>
    </row>
    <row r="22" spans="1:10" ht="277.2" customHeight="1" x14ac:dyDescent="0.3">
      <c r="A22" s="14">
        <v>29</v>
      </c>
      <c r="B22" s="97" t="s">
        <v>203</v>
      </c>
      <c r="C22" s="16" t="s">
        <v>186</v>
      </c>
      <c r="D22" s="17" t="s">
        <v>176</v>
      </c>
      <c r="E22" s="17" t="s">
        <v>177</v>
      </c>
      <c r="F22" s="17" t="s">
        <v>178</v>
      </c>
      <c r="G22" s="18" t="s">
        <v>179</v>
      </c>
      <c r="H22" s="18" t="s">
        <v>180</v>
      </c>
      <c r="I22" s="17" t="s">
        <v>181</v>
      </c>
      <c r="J22" s="19" t="s">
        <v>187</v>
      </c>
    </row>
    <row r="23" spans="1:10" ht="277.2" customHeight="1" x14ac:dyDescent="0.3">
      <c r="A23" s="14">
        <v>30</v>
      </c>
      <c r="B23" s="98" t="s">
        <v>204</v>
      </c>
      <c r="C23" s="16" t="s">
        <v>175</v>
      </c>
      <c r="D23" s="17" t="s">
        <v>176</v>
      </c>
      <c r="E23" s="17" t="s">
        <v>177</v>
      </c>
      <c r="F23" s="17" t="s">
        <v>178</v>
      </c>
      <c r="G23" s="18" t="s">
        <v>179</v>
      </c>
      <c r="H23" s="18" t="s">
        <v>180</v>
      </c>
      <c r="I23" s="17" t="s">
        <v>181</v>
      </c>
      <c r="J23" s="19" t="s">
        <v>182</v>
      </c>
    </row>
    <row r="24" spans="1:10" ht="277.2" customHeight="1" x14ac:dyDescent="0.3">
      <c r="A24" s="14">
        <v>31</v>
      </c>
      <c r="B24" s="99" t="s">
        <v>205</v>
      </c>
      <c r="C24" s="16" t="s">
        <v>157</v>
      </c>
      <c r="D24" s="17" t="s">
        <v>176</v>
      </c>
      <c r="E24" s="17" t="s">
        <v>177</v>
      </c>
      <c r="F24" s="17" t="s">
        <v>178</v>
      </c>
      <c r="G24" s="18" t="s">
        <v>179</v>
      </c>
      <c r="H24" s="18" t="s">
        <v>180</v>
      </c>
      <c r="I24" s="17" t="s">
        <v>181</v>
      </c>
      <c r="J24" s="19" t="s">
        <v>159</v>
      </c>
    </row>
    <row r="25" spans="1:10" ht="277.2" customHeight="1" x14ac:dyDescent="0.3">
      <c r="A25" s="14">
        <v>32</v>
      </c>
      <c r="B25" s="100" t="s">
        <v>206</v>
      </c>
      <c r="C25" s="16" t="s">
        <v>157</v>
      </c>
      <c r="D25" s="17" t="s">
        <v>176</v>
      </c>
      <c r="E25" s="17" t="s">
        <v>177</v>
      </c>
      <c r="F25" s="17" t="s">
        <v>178</v>
      </c>
      <c r="G25" s="18" t="s">
        <v>179</v>
      </c>
      <c r="H25" s="18" t="s">
        <v>180</v>
      </c>
      <c r="I25" s="17" t="s">
        <v>181</v>
      </c>
      <c r="J25" s="19" t="s">
        <v>159</v>
      </c>
    </row>
    <row r="26" spans="1:10" ht="277.2" customHeight="1" x14ac:dyDescent="0.3">
      <c r="A26" s="14">
        <v>33</v>
      </c>
      <c r="B26" s="101" t="s">
        <v>207</v>
      </c>
      <c r="C26" s="16" t="s">
        <v>157</v>
      </c>
      <c r="D26" s="17" t="s">
        <v>176</v>
      </c>
      <c r="E26" s="17" t="s">
        <v>177</v>
      </c>
      <c r="F26" s="17" t="s">
        <v>178</v>
      </c>
      <c r="G26" s="18" t="s">
        <v>179</v>
      </c>
      <c r="H26" s="18" t="s">
        <v>180</v>
      </c>
      <c r="I26" s="17" t="s">
        <v>181</v>
      </c>
      <c r="J26" s="19" t="s">
        <v>159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196" t="s">
        <v>117</v>
      </c>
      <c r="B1" s="149"/>
      <c r="C1" s="149"/>
      <c r="D1" s="149"/>
      <c r="E1" s="149"/>
      <c r="F1" s="149"/>
      <c r="G1" s="149"/>
      <c r="H1" s="149"/>
      <c r="I1" s="149"/>
      <c r="J1" s="170"/>
    </row>
    <row r="2" spans="1:11" x14ac:dyDescent="0.3">
      <c r="A2" s="10"/>
      <c r="B2" s="11" t="s">
        <v>118</v>
      </c>
      <c r="C2" s="12" t="s">
        <v>168</v>
      </c>
      <c r="D2" s="12" t="s">
        <v>169</v>
      </c>
      <c r="E2" s="12" t="s">
        <v>170</v>
      </c>
      <c r="F2" s="12" t="s">
        <v>171</v>
      </c>
      <c r="G2" s="12" t="s">
        <v>172</v>
      </c>
      <c r="H2" s="12" t="s">
        <v>173</v>
      </c>
      <c r="I2" s="12" t="s">
        <v>208</v>
      </c>
      <c r="J2" s="13" t="s">
        <v>209</v>
      </c>
    </row>
    <row r="3" spans="1:11" ht="277.2" customHeight="1" x14ac:dyDescent="0.3">
      <c r="A3" s="14">
        <v>34</v>
      </c>
      <c r="B3" s="96" t="s">
        <v>210</v>
      </c>
      <c r="C3" s="16" t="s">
        <v>161</v>
      </c>
      <c r="D3" s="17" t="s">
        <v>211</v>
      </c>
      <c r="E3" s="17" t="s">
        <v>212</v>
      </c>
      <c r="F3" s="17" t="s">
        <v>180</v>
      </c>
      <c r="G3" s="18" t="s">
        <v>146</v>
      </c>
      <c r="H3" s="18" t="s">
        <v>162</v>
      </c>
      <c r="I3" s="17"/>
      <c r="J3" s="19"/>
    </row>
    <row r="4" spans="1:11" ht="277.2" customHeight="1" x14ac:dyDescent="0.3">
      <c r="A4" s="14"/>
      <c r="B4" s="20"/>
      <c r="C4" s="16"/>
      <c r="D4" s="17"/>
      <c r="E4" s="17"/>
      <c r="F4" s="17"/>
      <c r="G4" s="18"/>
      <c r="H4" s="18"/>
      <c r="I4" s="17"/>
      <c r="J4" s="19"/>
    </row>
    <row r="5" spans="1:11" ht="277.2" customHeight="1" x14ac:dyDescent="0.3">
      <c r="A5" s="14"/>
      <c r="B5" s="21"/>
      <c r="C5" s="16"/>
      <c r="D5" s="17"/>
      <c r="E5" s="17"/>
      <c r="F5" s="17"/>
      <c r="G5" s="18"/>
      <c r="H5" s="18"/>
      <c r="I5" s="17"/>
      <c r="J5" s="19"/>
    </row>
    <row r="6" spans="1:11" ht="277.2" customHeight="1" x14ac:dyDescent="0.3">
      <c r="A6" s="14"/>
      <c r="B6" s="22"/>
      <c r="C6" s="16"/>
      <c r="D6" s="17"/>
      <c r="E6" s="17"/>
      <c r="F6" s="17"/>
      <c r="G6" s="18"/>
      <c r="H6" s="18"/>
      <c r="I6" s="17"/>
      <c r="J6" s="19"/>
    </row>
    <row r="7" spans="1:11" ht="277.2" customHeight="1" x14ac:dyDescent="0.3">
      <c r="A7" s="14"/>
      <c r="B7" s="23"/>
      <c r="C7" s="16"/>
      <c r="D7" s="17"/>
      <c r="E7" s="17"/>
      <c r="F7" s="17"/>
      <c r="G7" s="18"/>
      <c r="H7" s="18"/>
      <c r="I7" s="17"/>
      <c r="J7" s="19"/>
    </row>
    <row r="8" spans="1:11" ht="290.39999999999998" customHeight="1" x14ac:dyDescent="0.3">
      <c r="A8" s="14"/>
      <c r="B8" s="24"/>
      <c r="C8" s="16"/>
      <c r="D8" s="17"/>
      <c r="E8" s="17"/>
      <c r="F8" s="17"/>
      <c r="G8" s="18"/>
      <c r="H8" s="18"/>
      <c r="I8" s="17"/>
      <c r="J8" s="19"/>
    </row>
    <row r="9" spans="1:11" ht="290.39999999999998" customHeight="1" x14ac:dyDescent="0.3">
      <c r="A9" s="14"/>
      <c r="B9" s="15"/>
      <c r="C9" s="16"/>
      <c r="D9" s="17"/>
      <c r="E9" s="17"/>
      <c r="F9" s="17"/>
      <c r="G9" s="18"/>
      <c r="H9" s="18"/>
      <c r="I9" s="17"/>
      <c r="J9" s="19"/>
    </row>
    <row r="10" spans="1:11" ht="290.39999999999998" customHeight="1" x14ac:dyDescent="0.3">
      <c r="A10" s="14"/>
      <c r="B10" s="25"/>
      <c r="C10" s="16"/>
      <c r="D10" s="17"/>
      <c r="E10" s="17"/>
      <c r="F10" s="17"/>
      <c r="G10" s="18"/>
      <c r="H10" s="18"/>
      <c r="I10" s="17"/>
      <c r="J10" s="19"/>
    </row>
    <row r="11" spans="1:11" ht="264" customHeight="1" x14ac:dyDescent="0.3">
      <c r="A11" s="14"/>
      <c r="B11" s="26"/>
      <c r="C11" s="16"/>
      <c r="D11" s="17"/>
      <c r="E11" s="17"/>
      <c r="F11" s="17"/>
      <c r="G11" s="18"/>
      <c r="H11" s="18"/>
      <c r="I11" s="17"/>
      <c r="J11" s="19"/>
    </row>
    <row r="12" spans="1:11" ht="264" customHeight="1" x14ac:dyDescent="0.3">
      <c r="A12" s="14"/>
      <c r="B12" s="27"/>
      <c r="C12" s="16"/>
      <c r="D12" s="17"/>
      <c r="E12" s="17"/>
      <c r="F12" s="17"/>
      <c r="G12" s="18"/>
      <c r="H12" s="18"/>
      <c r="I12" s="17"/>
      <c r="J12" s="19"/>
    </row>
    <row r="13" spans="1:11" ht="264" customHeight="1" x14ac:dyDescent="0.3">
      <c r="A13" s="14"/>
      <c r="B13" s="28"/>
      <c r="C13" s="16"/>
      <c r="D13" s="17"/>
      <c r="E13" s="17"/>
      <c r="F13" s="17"/>
      <c r="G13" s="18"/>
      <c r="H13" s="18"/>
      <c r="I13" s="17"/>
      <c r="J13" s="19"/>
    </row>
    <row r="14" spans="1:11" ht="264" customHeight="1" x14ac:dyDescent="0.3">
      <c r="A14" s="14"/>
      <c r="B14" s="29"/>
      <c r="C14" s="16"/>
      <c r="D14" s="17"/>
      <c r="E14" s="17"/>
      <c r="F14" s="17"/>
      <c r="G14" s="18"/>
      <c r="H14" s="18"/>
      <c r="I14" s="17"/>
      <c r="J14" s="19"/>
    </row>
    <row r="15" spans="1:11" ht="303.60000000000002" customHeight="1" x14ac:dyDescent="0.3">
      <c r="A15" s="14"/>
      <c r="B15" s="30"/>
      <c r="C15" s="16"/>
      <c r="D15" s="17"/>
      <c r="E15" s="17"/>
      <c r="F15" s="17"/>
      <c r="G15" s="18"/>
      <c r="H15" s="18"/>
      <c r="I15" s="17"/>
      <c r="J15" s="19"/>
      <c r="K15" s="31"/>
    </row>
    <row r="16" spans="1:11" ht="277.2" customHeight="1" x14ac:dyDescent="0.3">
      <c r="A16" s="14"/>
      <c r="B16" s="25"/>
      <c r="C16" s="16"/>
      <c r="D16" s="17"/>
      <c r="E16" s="17"/>
      <c r="F16" s="17"/>
      <c r="G16" s="18"/>
      <c r="H16" s="18"/>
      <c r="I16" s="17"/>
      <c r="J16" s="19"/>
    </row>
    <row r="17" spans="1:10" ht="290.39999999999998" customHeight="1" x14ac:dyDescent="0.3">
      <c r="A17" s="14"/>
      <c r="B17" s="26"/>
      <c r="C17" s="16"/>
      <c r="D17" s="17"/>
      <c r="E17" s="17"/>
      <c r="F17" s="17"/>
      <c r="G17" s="18"/>
      <c r="H17" s="18"/>
      <c r="I17" s="17"/>
      <c r="J17" s="19"/>
    </row>
    <row r="18" spans="1:10" ht="290.39999999999998" customHeight="1" x14ac:dyDescent="0.3">
      <c r="A18" s="14"/>
      <c r="B18" s="27"/>
      <c r="C18" s="16"/>
      <c r="D18" s="17"/>
      <c r="E18" s="17"/>
      <c r="F18" s="17"/>
      <c r="G18" s="18"/>
      <c r="H18" s="18"/>
      <c r="I18" s="17"/>
      <c r="J18" s="19"/>
    </row>
    <row r="19" spans="1:10" ht="290.39999999999998" customHeight="1" x14ac:dyDescent="0.3">
      <c r="A19" s="14"/>
      <c r="B19" s="28"/>
      <c r="C19" s="16"/>
      <c r="D19" s="17"/>
      <c r="E19" s="17"/>
      <c r="F19" s="17"/>
      <c r="G19" s="18"/>
      <c r="H19" s="18"/>
      <c r="I19" s="17"/>
      <c r="J19" s="19"/>
    </row>
    <row r="20" spans="1:10" ht="290.39999999999998" customHeight="1" x14ac:dyDescent="0.3">
      <c r="A20" s="14"/>
      <c r="B20" s="29"/>
      <c r="C20" s="16"/>
      <c r="D20" s="17"/>
      <c r="E20" s="17"/>
      <c r="F20" s="17"/>
      <c r="G20" s="18"/>
      <c r="H20" s="18"/>
      <c r="I20" s="17"/>
      <c r="J20" s="19"/>
    </row>
    <row r="21" spans="1:10" ht="291" customHeight="1" thickBot="1" x14ac:dyDescent="0.35">
      <c r="A21" s="32"/>
      <c r="B21" s="33"/>
      <c r="C21" s="34"/>
      <c r="D21" s="35"/>
      <c r="E21" s="35"/>
      <c r="F21" s="35"/>
      <c r="G21" s="36"/>
      <c r="H21" s="36"/>
      <c r="I21" s="35"/>
      <c r="J21" s="37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7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196" t="s">
        <v>117</v>
      </c>
      <c r="B1" s="149"/>
      <c r="C1" s="149"/>
      <c r="D1" s="149"/>
      <c r="E1" s="149"/>
      <c r="F1" s="149"/>
      <c r="G1" s="149"/>
      <c r="H1" s="149"/>
      <c r="I1" s="149"/>
      <c r="J1" s="170"/>
    </row>
    <row r="2" spans="1:11" x14ac:dyDescent="0.3">
      <c r="A2" s="10"/>
      <c r="B2" s="11" t="s">
        <v>118</v>
      </c>
      <c r="C2" s="12" t="s">
        <v>173</v>
      </c>
      <c r="D2" s="12" t="s">
        <v>208</v>
      </c>
      <c r="E2" s="12" t="s">
        <v>209</v>
      </c>
      <c r="F2" s="12" t="s">
        <v>213</v>
      </c>
      <c r="G2" s="12" t="s">
        <v>214</v>
      </c>
      <c r="H2" s="12" t="s">
        <v>215</v>
      </c>
      <c r="I2" s="12" t="s">
        <v>216</v>
      </c>
      <c r="J2" s="13" t="s">
        <v>217</v>
      </c>
    </row>
    <row r="3" spans="1:11" ht="277.2" customHeight="1" x14ac:dyDescent="0.3">
      <c r="A3" s="14">
        <v>35</v>
      </c>
      <c r="B3" s="96" t="s">
        <v>218</v>
      </c>
      <c r="C3" s="16" t="s">
        <v>175</v>
      </c>
      <c r="D3" s="17" t="s">
        <v>176</v>
      </c>
      <c r="E3" s="17" t="s">
        <v>177</v>
      </c>
      <c r="F3" s="17" t="s">
        <v>178</v>
      </c>
      <c r="G3" s="18" t="s">
        <v>179</v>
      </c>
      <c r="H3" s="18" t="s">
        <v>180</v>
      </c>
      <c r="I3" s="17" t="s">
        <v>181</v>
      </c>
      <c r="J3" s="19" t="s">
        <v>182</v>
      </c>
    </row>
    <row r="4" spans="1:11" ht="277.2" customHeight="1" x14ac:dyDescent="0.3">
      <c r="A4" s="14">
        <v>36</v>
      </c>
      <c r="B4" s="97" t="s">
        <v>219</v>
      </c>
      <c r="C4" s="16" t="s">
        <v>186</v>
      </c>
      <c r="D4" s="17" t="s">
        <v>176</v>
      </c>
      <c r="E4" s="17" t="s">
        <v>177</v>
      </c>
      <c r="F4" s="17" t="s">
        <v>178</v>
      </c>
      <c r="G4" s="18" t="s">
        <v>179</v>
      </c>
      <c r="H4" s="18" t="s">
        <v>180</v>
      </c>
      <c r="I4" s="17" t="s">
        <v>181</v>
      </c>
      <c r="J4" s="19" t="s">
        <v>187</v>
      </c>
    </row>
    <row r="5" spans="1:11" ht="277.2" customHeight="1" x14ac:dyDescent="0.3">
      <c r="A5" s="14">
        <v>37</v>
      </c>
      <c r="B5" s="98" t="s">
        <v>220</v>
      </c>
      <c r="C5" s="16" t="s">
        <v>186</v>
      </c>
      <c r="D5" s="17" t="s">
        <v>176</v>
      </c>
      <c r="E5" s="17" t="s">
        <v>177</v>
      </c>
      <c r="F5" s="17" t="s">
        <v>178</v>
      </c>
      <c r="G5" s="18" t="s">
        <v>179</v>
      </c>
      <c r="H5" s="18" t="s">
        <v>180</v>
      </c>
      <c r="I5" s="17" t="s">
        <v>181</v>
      </c>
      <c r="J5" s="19" t="s">
        <v>187</v>
      </c>
    </row>
    <row r="6" spans="1:11" ht="277.2" customHeight="1" x14ac:dyDescent="0.3">
      <c r="A6" s="14">
        <v>38</v>
      </c>
      <c r="B6" s="99" t="s">
        <v>221</v>
      </c>
      <c r="C6" s="16" t="s">
        <v>186</v>
      </c>
      <c r="D6" s="17" t="s">
        <v>176</v>
      </c>
      <c r="E6" s="17" t="s">
        <v>177</v>
      </c>
      <c r="F6" s="17" t="s">
        <v>178</v>
      </c>
      <c r="G6" s="18" t="s">
        <v>179</v>
      </c>
      <c r="H6" s="18" t="s">
        <v>180</v>
      </c>
      <c r="I6" s="17" t="s">
        <v>181</v>
      </c>
      <c r="J6" s="19" t="s">
        <v>187</v>
      </c>
    </row>
    <row r="7" spans="1:11" ht="277.2" customHeight="1" x14ac:dyDescent="0.3">
      <c r="A7" s="14">
        <v>39</v>
      </c>
      <c r="B7" s="100" t="s">
        <v>222</v>
      </c>
      <c r="C7" s="16" t="s">
        <v>223</v>
      </c>
      <c r="D7" s="17" t="s">
        <v>176</v>
      </c>
      <c r="E7" s="17" t="s">
        <v>177</v>
      </c>
      <c r="F7" s="17" t="s">
        <v>178</v>
      </c>
      <c r="G7" s="18" t="s">
        <v>179</v>
      </c>
      <c r="H7" s="18" t="s">
        <v>180</v>
      </c>
      <c r="I7" s="17" t="s">
        <v>181</v>
      </c>
      <c r="J7" s="19" t="s">
        <v>224</v>
      </c>
    </row>
    <row r="8" spans="1:11" ht="277.2" customHeight="1" x14ac:dyDescent="0.3">
      <c r="A8" s="14">
        <v>40</v>
      </c>
      <c r="B8" s="101" t="s">
        <v>225</v>
      </c>
      <c r="C8" s="16" t="s">
        <v>161</v>
      </c>
      <c r="D8" s="17" t="s">
        <v>176</v>
      </c>
      <c r="E8" s="17" t="s">
        <v>129</v>
      </c>
      <c r="F8" s="17" t="s">
        <v>226</v>
      </c>
      <c r="G8" s="18" t="s">
        <v>227</v>
      </c>
      <c r="H8" s="18" t="s">
        <v>162</v>
      </c>
      <c r="I8" s="17"/>
      <c r="J8" s="19"/>
    </row>
    <row r="9" spans="1:11" ht="277.2" customHeight="1" x14ac:dyDescent="0.3">
      <c r="A9" s="14">
        <v>41</v>
      </c>
      <c r="B9" s="96" t="s">
        <v>228</v>
      </c>
      <c r="C9" s="16" t="s">
        <v>223</v>
      </c>
      <c r="D9" s="17" t="s">
        <v>176</v>
      </c>
      <c r="E9" s="17" t="s">
        <v>177</v>
      </c>
      <c r="F9" s="17" t="s">
        <v>178</v>
      </c>
      <c r="G9" s="18" t="s">
        <v>179</v>
      </c>
      <c r="H9" s="18" t="s">
        <v>180</v>
      </c>
      <c r="I9" s="17" t="s">
        <v>181</v>
      </c>
      <c r="J9" s="19" t="s">
        <v>224</v>
      </c>
    </row>
    <row r="10" spans="1:11" ht="277.2" customHeight="1" x14ac:dyDescent="0.3">
      <c r="A10" s="14">
        <v>42</v>
      </c>
      <c r="B10" s="102" t="s">
        <v>229</v>
      </c>
      <c r="C10" s="16" t="s">
        <v>161</v>
      </c>
      <c r="D10" s="17" t="s">
        <v>176</v>
      </c>
      <c r="E10" s="17" t="s">
        <v>129</v>
      </c>
      <c r="F10" s="17" t="s">
        <v>226</v>
      </c>
      <c r="G10" s="18" t="s">
        <v>227</v>
      </c>
      <c r="H10" s="18" t="s">
        <v>162</v>
      </c>
      <c r="I10" s="17"/>
      <c r="J10" s="19"/>
    </row>
    <row r="11" spans="1:11" ht="277.2" customHeight="1" x14ac:dyDescent="0.3">
      <c r="A11" s="14">
        <v>43</v>
      </c>
      <c r="B11" s="103" t="s">
        <v>230</v>
      </c>
      <c r="C11" s="16" t="s">
        <v>223</v>
      </c>
      <c r="D11" s="17" t="s">
        <v>176</v>
      </c>
      <c r="E11" s="17" t="s">
        <v>177</v>
      </c>
      <c r="F11" s="17" t="s">
        <v>178</v>
      </c>
      <c r="G11" s="18" t="s">
        <v>179</v>
      </c>
      <c r="H11" s="18" t="s">
        <v>180</v>
      </c>
      <c r="I11" s="17" t="s">
        <v>181</v>
      </c>
      <c r="J11" s="19" t="s">
        <v>224</v>
      </c>
    </row>
    <row r="12" spans="1:11" ht="277.2" customHeight="1" x14ac:dyDescent="0.3">
      <c r="A12" s="14">
        <v>44</v>
      </c>
      <c r="B12" s="104" t="s">
        <v>231</v>
      </c>
      <c r="C12" s="16" t="s">
        <v>223</v>
      </c>
      <c r="D12" s="17" t="s">
        <v>176</v>
      </c>
      <c r="E12" s="17" t="s">
        <v>177</v>
      </c>
      <c r="F12" s="17" t="s">
        <v>178</v>
      </c>
      <c r="G12" s="18" t="s">
        <v>179</v>
      </c>
      <c r="H12" s="18" t="s">
        <v>180</v>
      </c>
      <c r="I12" s="17" t="s">
        <v>181</v>
      </c>
      <c r="J12" s="19" t="s">
        <v>224</v>
      </c>
    </row>
    <row r="13" spans="1:11" ht="277.2" customHeight="1" x14ac:dyDescent="0.3">
      <c r="A13" s="14">
        <v>45</v>
      </c>
      <c r="B13" s="105" t="s">
        <v>232</v>
      </c>
      <c r="C13" s="16" t="s">
        <v>186</v>
      </c>
      <c r="D13" s="17" t="s">
        <v>176</v>
      </c>
      <c r="E13" s="17" t="s">
        <v>177</v>
      </c>
      <c r="F13" s="17" t="s">
        <v>178</v>
      </c>
      <c r="G13" s="18" t="s">
        <v>179</v>
      </c>
      <c r="H13" s="18" t="s">
        <v>180</v>
      </c>
      <c r="I13" s="17" t="s">
        <v>181</v>
      </c>
      <c r="J13" s="19" t="s">
        <v>187</v>
      </c>
    </row>
    <row r="14" spans="1:11" ht="277.2" customHeight="1" x14ac:dyDescent="0.3">
      <c r="A14" s="14">
        <v>46</v>
      </c>
      <c r="B14" s="106" t="s">
        <v>233</v>
      </c>
      <c r="C14" s="16" t="s">
        <v>234</v>
      </c>
      <c r="D14" s="17" t="s">
        <v>176</v>
      </c>
      <c r="E14" s="17" t="s">
        <v>177</v>
      </c>
      <c r="F14" s="17" t="s">
        <v>178</v>
      </c>
      <c r="G14" s="18" t="s">
        <v>179</v>
      </c>
      <c r="H14" s="18" t="s">
        <v>180</v>
      </c>
      <c r="I14" s="17" t="s">
        <v>181</v>
      </c>
      <c r="J14" s="19" t="s">
        <v>235</v>
      </c>
    </row>
    <row r="15" spans="1:11" ht="277.2" customHeight="1" x14ac:dyDescent="0.3">
      <c r="A15" s="14">
        <v>47</v>
      </c>
      <c r="B15" s="107" t="s">
        <v>236</v>
      </c>
      <c r="C15" s="16" t="s">
        <v>175</v>
      </c>
      <c r="D15" s="17" t="s">
        <v>176</v>
      </c>
      <c r="E15" s="17" t="s">
        <v>177</v>
      </c>
      <c r="F15" s="17" t="s">
        <v>178</v>
      </c>
      <c r="G15" s="18" t="s">
        <v>179</v>
      </c>
      <c r="H15" s="18" t="s">
        <v>180</v>
      </c>
      <c r="I15" s="17" t="s">
        <v>181</v>
      </c>
      <c r="J15" s="19" t="s">
        <v>182</v>
      </c>
      <c r="K15" s="31"/>
    </row>
    <row r="16" spans="1:11" ht="277.2" customHeight="1" x14ac:dyDescent="0.3">
      <c r="A16" s="14">
        <v>48</v>
      </c>
      <c r="B16" s="102" t="s">
        <v>237</v>
      </c>
      <c r="C16" s="16" t="s">
        <v>234</v>
      </c>
      <c r="D16" s="17" t="s">
        <v>176</v>
      </c>
      <c r="E16" s="17" t="s">
        <v>177</v>
      </c>
      <c r="F16" s="17" t="s">
        <v>178</v>
      </c>
      <c r="G16" s="18" t="s">
        <v>179</v>
      </c>
      <c r="H16" s="18" t="s">
        <v>180</v>
      </c>
      <c r="I16" s="17" t="s">
        <v>181</v>
      </c>
      <c r="J16" s="19" t="s">
        <v>235</v>
      </c>
    </row>
    <row r="17" spans="1:10" ht="277.2" customHeight="1" x14ac:dyDescent="0.3">
      <c r="A17" s="14">
        <v>49</v>
      </c>
      <c r="B17" s="103" t="s">
        <v>238</v>
      </c>
      <c r="C17" s="16" t="s">
        <v>157</v>
      </c>
      <c r="D17" s="17" t="s">
        <v>176</v>
      </c>
      <c r="E17" s="17" t="s">
        <v>177</v>
      </c>
      <c r="F17" s="17" t="s">
        <v>178</v>
      </c>
      <c r="G17" s="18" t="s">
        <v>179</v>
      </c>
      <c r="H17" s="18" t="s">
        <v>180</v>
      </c>
      <c r="I17" s="17" t="s">
        <v>181</v>
      </c>
      <c r="J17" s="19" t="s">
        <v>159</v>
      </c>
    </row>
    <row r="18" spans="1:10" ht="277.2" customHeight="1" x14ac:dyDescent="0.3">
      <c r="A18" s="14">
        <v>50</v>
      </c>
      <c r="B18" s="104" t="s">
        <v>239</v>
      </c>
      <c r="C18" s="16" t="s">
        <v>223</v>
      </c>
      <c r="D18" s="17" t="s">
        <v>176</v>
      </c>
      <c r="E18" s="17" t="s">
        <v>177</v>
      </c>
      <c r="F18" s="17" t="s">
        <v>178</v>
      </c>
      <c r="G18" s="18" t="s">
        <v>179</v>
      </c>
      <c r="H18" s="18" t="s">
        <v>180</v>
      </c>
      <c r="I18" s="17" t="s">
        <v>181</v>
      </c>
      <c r="J18" s="19" t="s">
        <v>224</v>
      </c>
    </row>
    <row r="19" spans="1:10" ht="277.2" customHeight="1" x14ac:dyDescent="0.3">
      <c r="A19" s="14">
        <v>51</v>
      </c>
      <c r="B19" s="105" t="s">
        <v>240</v>
      </c>
      <c r="C19" s="16" t="s">
        <v>157</v>
      </c>
      <c r="D19" s="17" t="s">
        <v>176</v>
      </c>
      <c r="E19" s="17" t="s">
        <v>177</v>
      </c>
      <c r="F19" s="17" t="s">
        <v>178</v>
      </c>
      <c r="G19" s="18" t="s">
        <v>179</v>
      </c>
      <c r="H19" s="18" t="s">
        <v>180</v>
      </c>
      <c r="I19" s="17" t="s">
        <v>181</v>
      </c>
      <c r="J19" s="19" t="s">
        <v>159</v>
      </c>
    </row>
    <row r="20" spans="1:10" ht="277.2" customHeight="1" x14ac:dyDescent="0.3">
      <c r="A20" s="14">
        <v>52</v>
      </c>
      <c r="B20" s="106" t="s">
        <v>241</v>
      </c>
      <c r="C20" s="16" t="s">
        <v>234</v>
      </c>
      <c r="D20" s="17" t="s">
        <v>176</v>
      </c>
      <c r="E20" s="17" t="s">
        <v>177</v>
      </c>
      <c r="F20" s="17" t="s">
        <v>178</v>
      </c>
      <c r="G20" s="18" t="s">
        <v>179</v>
      </c>
      <c r="H20" s="18" t="s">
        <v>180</v>
      </c>
      <c r="I20" s="17" t="s">
        <v>181</v>
      </c>
      <c r="J20" s="19" t="s">
        <v>235</v>
      </c>
    </row>
    <row r="21" spans="1:10" ht="277.2" customHeight="1" thickBot="1" x14ac:dyDescent="0.35">
      <c r="A21" s="32">
        <v>53</v>
      </c>
      <c r="B21" s="108" t="s">
        <v>242</v>
      </c>
      <c r="C21" s="34" t="s">
        <v>234</v>
      </c>
      <c r="D21" s="35" t="s">
        <v>176</v>
      </c>
      <c r="E21" s="35" t="s">
        <v>177</v>
      </c>
      <c r="F21" s="35" t="s">
        <v>178</v>
      </c>
      <c r="G21" s="36" t="s">
        <v>179</v>
      </c>
      <c r="H21" s="36" t="s">
        <v>180</v>
      </c>
      <c r="I21" s="35" t="s">
        <v>181</v>
      </c>
      <c r="J21" s="37" t="s">
        <v>235</v>
      </c>
    </row>
    <row r="22" spans="1:10" ht="277.2" customHeight="1" x14ac:dyDescent="0.3">
      <c r="A22" s="14">
        <v>54</v>
      </c>
      <c r="B22" s="97" t="s">
        <v>243</v>
      </c>
      <c r="C22" s="16" t="s">
        <v>157</v>
      </c>
      <c r="D22" s="17" t="s">
        <v>176</v>
      </c>
      <c r="E22" s="17" t="s">
        <v>177</v>
      </c>
      <c r="F22" s="17" t="s">
        <v>178</v>
      </c>
      <c r="G22" s="18" t="s">
        <v>179</v>
      </c>
      <c r="H22" s="18" t="s">
        <v>180</v>
      </c>
      <c r="I22" s="17" t="s">
        <v>181</v>
      </c>
      <c r="J22" s="19" t="s">
        <v>159</v>
      </c>
    </row>
    <row r="23" spans="1:10" ht="277.2" customHeight="1" x14ac:dyDescent="0.3">
      <c r="A23" s="14">
        <v>56</v>
      </c>
      <c r="B23" s="98" t="s">
        <v>244</v>
      </c>
      <c r="C23" s="16" t="s">
        <v>157</v>
      </c>
      <c r="D23" s="17" t="s">
        <v>176</v>
      </c>
      <c r="E23" s="17" t="s">
        <v>177</v>
      </c>
      <c r="F23" s="17" t="s">
        <v>178</v>
      </c>
      <c r="G23" s="18" t="s">
        <v>179</v>
      </c>
      <c r="H23" s="18" t="s">
        <v>180</v>
      </c>
      <c r="I23" s="17" t="s">
        <v>181</v>
      </c>
      <c r="J23" s="19" t="s">
        <v>159</v>
      </c>
    </row>
    <row r="24" spans="1:10" ht="277.2" customHeight="1" x14ac:dyDescent="0.3">
      <c r="A24" s="14">
        <v>57</v>
      </c>
      <c r="B24" s="99" t="s">
        <v>245</v>
      </c>
      <c r="C24" s="16" t="s">
        <v>157</v>
      </c>
      <c r="D24" s="17" t="s">
        <v>176</v>
      </c>
      <c r="E24" s="17" t="s">
        <v>177</v>
      </c>
      <c r="F24" s="17" t="s">
        <v>178</v>
      </c>
      <c r="G24" s="18" t="s">
        <v>179</v>
      </c>
      <c r="H24" s="18" t="s">
        <v>180</v>
      </c>
      <c r="I24" s="17" t="s">
        <v>181</v>
      </c>
      <c r="J24" s="19" t="s">
        <v>159</v>
      </c>
    </row>
    <row r="25" spans="1:10" ht="277.2" customHeight="1" x14ac:dyDescent="0.3">
      <c r="A25" s="14">
        <v>58</v>
      </c>
      <c r="B25" s="100" t="s">
        <v>246</v>
      </c>
      <c r="C25" s="16" t="s">
        <v>186</v>
      </c>
      <c r="D25" s="17" t="s">
        <v>176</v>
      </c>
      <c r="E25" s="17" t="s">
        <v>177</v>
      </c>
      <c r="F25" s="17" t="s">
        <v>178</v>
      </c>
      <c r="G25" s="18" t="s">
        <v>179</v>
      </c>
      <c r="H25" s="18" t="s">
        <v>180</v>
      </c>
      <c r="I25" s="17" t="s">
        <v>181</v>
      </c>
      <c r="J25" s="19" t="s">
        <v>187</v>
      </c>
    </row>
    <row r="26" spans="1:10" ht="277.2" customHeight="1" x14ac:dyDescent="0.3">
      <c r="A26" s="14">
        <v>59</v>
      </c>
      <c r="B26" s="101" t="s">
        <v>247</v>
      </c>
      <c r="C26" s="16" t="s">
        <v>175</v>
      </c>
      <c r="D26" s="17" t="s">
        <v>176</v>
      </c>
      <c r="E26" s="17" t="s">
        <v>177</v>
      </c>
      <c r="F26" s="17" t="s">
        <v>178</v>
      </c>
      <c r="G26" s="18" t="s">
        <v>179</v>
      </c>
      <c r="H26" s="18" t="s">
        <v>180</v>
      </c>
      <c r="I26" s="17" t="s">
        <v>181</v>
      </c>
      <c r="J26" s="19" t="s">
        <v>182</v>
      </c>
    </row>
    <row r="27" spans="1:10" ht="277.2" customHeight="1" x14ac:dyDescent="0.3">
      <c r="A27" s="14">
        <v>60</v>
      </c>
      <c r="B27" s="96" t="s">
        <v>248</v>
      </c>
      <c r="C27" s="16" t="s">
        <v>157</v>
      </c>
      <c r="D27" s="17" t="s">
        <v>176</v>
      </c>
      <c r="E27" s="17" t="s">
        <v>177</v>
      </c>
      <c r="F27" s="17" t="s">
        <v>178</v>
      </c>
      <c r="G27" s="18" t="s">
        <v>179</v>
      </c>
      <c r="H27" s="18" t="s">
        <v>180</v>
      </c>
      <c r="I27" s="17" t="s">
        <v>181</v>
      </c>
      <c r="J27" s="19" t="s">
        <v>159</v>
      </c>
    </row>
    <row r="28" spans="1:10" ht="277.2" customHeight="1" x14ac:dyDescent="0.3">
      <c r="A28" s="14">
        <v>61</v>
      </c>
      <c r="B28" s="97" t="s">
        <v>249</v>
      </c>
      <c r="C28" s="16" t="s">
        <v>234</v>
      </c>
      <c r="D28" s="17" t="s">
        <v>176</v>
      </c>
      <c r="E28" s="17" t="s">
        <v>177</v>
      </c>
      <c r="F28" s="17" t="s">
        <v>178</v>
      </c>
      <c r="G28" s="18" t="s">
        <v>179</v>
      </c>
      <c r="H28" s="18" t="s">
        <v>180</v>
      </c>
      <c r="I28" s="17" t="s">
        <v>181</v>
      </c>
      <c r="J28" s="19" t="s">
        <v>235</v>
      </c>
    </row>
    <row r="29" spans="1:10" ht="277.2" customHeight="1" x14ac:dyDescent="0.3">
      <c r="A29" s="14">
        <v>62</v>
      </c>
      <c r="B29" s="98" t="s">
        <v>250</v>
      </c>
      <c r="C29" s="16" t="s">
        <v>175</v>
      </c>
      <c r="D29" s="17" t="s">
        <v>176</v>
      </c>
      <c r="E29" s="17" t="s">
        <v>177</v>
      </c>
      <c r="F29" s="17" t="s">
        <v>178</v>
      </c>
      <c r="G29" s="18" t="s">
        <v>179</v>
      </c>
      <c r="H29" s="18" t="s">
        <v>180</v>
      </c>
      <c r="I29" s="17" t="s">
        <v>181</v>
      </c>
      <c r="J29" s="19" t="s">
        <v>182</v>
      </c>
    </row>
    <row r="30" spans="1:10" ht="277.2" customHeight="1" x14ac:dyDescent="0.3">
      <c r="A30" s="14">
        <v>63</v>
      </c>
      <c r="B30" s="99" t="s">
        <v>251</v>
      </c>
      <c r="C30" s="16" t="s">
        <v>175</v>
      </c>
      <c r="D30" s="17" t="s">
        <v>176</v>
      </c>
      <c r="E30" s="17" t="s">
        <v>177</v>
      </c>
      <c r="F30" s="17" t="s">
        <v>178</v>
      </c>
      <c r="G30" s="18" t="s">
        <v>179</v>
      </c>
      <c r="H30" s="18" t="s">
        <v>180</v>
      </c>
      <c r="I30" s="17" t="s">
        <v>181</v>
      </c>
      <c r="J30" s="19" t="s">
        <v>182</v>
      </c>
    </row>
    <row r="31" spans="1:10" ht="277.2" customHeight="1" x14ac:dyDescent="0.3">
      <c r="A31" s="14">
        <v>64</v>
      </c>
      <c r="B31" s="100" t="s">
        <v>252</v>
      </c>
      <c r="C31" s="16" t="s">
        <v>234</v>
      </c>
      <c r="D31" s="17" t="s">
        <v>176</v>
      </c>
      <c r="E31" s="17" t="s">
        <v>177</v>
      </c>
      <c r="F31" s="17" t="s">
        <v>178</v>
      </c>
      <c r="G31" s="18" t="s">
        <v>179</v>
      </c>
      <c r="H31" s="18" t="s">
        <v>180</v>
      </c>
      <c r="I31" s="17" t="s">
        <v>181</v>
      </c>
      <c r="J31" s="19" t="s">
        <v>235</v>
      </c>
    </row>
    <row r="32" spans="1:10" ht="277.2" customHeight="1" x14ac:dyDescent="0.3">
      <c r="A32" s="14">
        <v>65</v>
      </c>
      <c r="B32" s="101" t="s">
        <v>253</v>
      </c>
      <c r="C32" s="16" t="s">
        <v>234</v>
      </c>
      <c r="D32" s="17" t="s">
        <v>176</v>
      </c>
      <c r="E32" s="17" t="s">
        <v>177</v>
      </c>
      <c r="F32" s="17" t="s">
        <v>178</v>
      </c>
      <c r="G32" s="18" t="s">
        <v>179</v>
      </c>
      <c r="H32" s="18" t="s">
        <v>180</v>
      </c>
      <c r="I32" s="17" t="s">
        <v>181</v>
      </c>
      <c r="J32" s="19" t="s">
        <v>235</v>
      </c>
    </row>
    <row r="33" spans="1:10" ht="277.2" customHeight="1" x14ac:dyDescent="0.3">
      <c r="A33" s="14">
        <v>66</v>
      </c>
      <c r="B33" s="96" t="s">
        <v>254</v>
      </c>
      <c r="C33" s="16" t="s">
        <v>157</v>
      </c>
      <c r="D33" s="17" t="s">
        <v>176</v>
      </c>
      <c r="E33" s="17" t="s">
        <v>177</v>
      </c>
      <c r="F33" s="17" t="s">
        <v>178</v>
      </c>
      <c r="G33" s="18" t="s">
        <v>179</v>
      </c>
      <c r="H33" s="18" t="s">
        <v>180</v>
      </c>
      <c r="I33" s="17" t="s">
        <v>181</v>
      </c>
      <c r="J33" s="19" t="s">
        <v>159</v>
      </c>
    </row>
    <row r="34" spans="1:10" ht="277.2" customHeight="1" x14ac:dyDescent="0.3">
      <c r="A34" s="14">
        <v>67</v>
      </c>
      <c r="B34" s="97" t="s">
        <v>255</v>
      </c>
      <c r="C34" s="16" t="s">
        <v>223</v>
      </c>
      <c r="D34" s="17" t="s">
        <v>176</v>
      </c>
      <c r="E34" s="17" t="s">
        <v>177</v>
      </c>
      <c r="F34" s="17" t="s">
        <v>178</v>
      </c>
      <c r="G34" s="18" t="s">
        <v>179</v>
      </c>
      <c r="H34" s="18" t="s">
        <v>180</v>
      </c>
      <c r="I34" s="17" t="s">
        <v>181</v>
      </c>
      <c r="J34" s="19" t="s">
        <v>224</v>
      </c>
    </row>
    <row r="35" spans="1:10" ht="277.2" customHeight="1" x14ac:dyDescent="0.3">
      <c r="A35" s="14">
        <v>68</v>
      </c>
      <c r="B35" s="98" t="s">
        <v>256</v>
      </c>
      <c r="C35" s="16" t="s">
        <v>175</v>
      </c>
      <c r="D35" s="17" t="s">
        <v>176</v>
      </c>
      <c r="E35" s="17" t="s">
        <v>177</v>
      </c>
      <c r="F35" s="17" t="s">
        <v>178</v>
      </c>
      <c r="G35" s="18" t="s">
        <v>179</v>
      </c>
      <c r="H35" s="18" t="s">
        <v>180</v>
      </c>
      <c r="I35" s="17" t="s">
        <v>181</v>
      </c>
      <c r="J35" s="19" t="s">
        <v>182</v>
      </c>
    </row>
    <row r="36" spans="1:10" ht="277.2" customHeight="1" x14ac:dyDescent="0.3">
      <c r="A36" s="14">
        <v>69</v>
      </c>
      <c r="B36" s="99" t="s">
        <v>257</v>
      </c>
      <c r="C36" s="16" t="s">
        <v>157</v>
      </c>
      <c r="D36" s="17" t="s">
        <v>176</v>
      </c>
      <c r="E36" s="17" t="s">
        <v>177</v>
      </c>
      <c r="F36" s="17" t="s">
        <v>178</v>
      </c>
      <c r="G36" s="18" t="s">
        <v>179</v>
      </c>
      <c r="H36" s="18" t="s">
        <v>180</v>
      </c>
      <c r="I36" s="17" t="s">
        <v>181</v>
      </c>
      <c r="J36" s="19" t="s">
        <v>159</v>
      </c>
    </row>
    <row r="37" spans="1:10" ht="277.2" customHeight="1" x14ac:dyDescent="0.3">
      <c r="A37" s="14">
        <v>82</v>
      </c>
      <c r="B37" s="100" t="s">
        <v>258</v>
      </c>
      <c r="C37" s="16" t="s">
        <v>186</v>
      </c>
      <c r="D37" s="17" t="s">
        <v>176</v>
      </c>
      <c r="E37" s="17" t="s">
        <v>177</v>
      </c>
      <c r="F37" s="17" t="s">
        <v>178</v>
      </c>
      <c r="G37" s="18" t="s">
        <v>179</v>
      </c>
      <c r="H37" s="18" t="s">
        <v>180</v>
      </c>
      <c r="I37" s="17" t="s">
        <v>181</v>
      </c>
      <c r="J37" s="19" t="s">
        <v>187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0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196" t="s">
        <v>117</v>
      </c>
      <c r="B1" s="149"/>
      <c r="C1" s="149"/>
      <c r="D1" s="149"/>
      <c r="E1" s="149"/>
      <c r="F1" s="149"/>
      <c r="G1" s="149"/>
      <c r="H1" s="149"/>
      <c r="I1" s="149"/>
      <c r="J1" s="170"/>
    </row>
    <row r="2" spans="1:11" x14ac:dyDescent="0.3">
      <c r="A2" s="10"/>
      <c r="B2" s="11" t="s">
        <v>118</v>
      </c>
      <c r="C2" s="12" t="s">
        <v>217</v>
      </c>
      <c r="D2" s="12" t="s">
        <v>259</v>
      </c>
      <c r="E2" s="12" t="s">
        <v>119</v>
      </c>
      <c r="F2" s="12" t="s">
        <v>120</v>
      </c>
      <c r="G2" s="12" t="s">
        <v>121</v>
      </c>
      <c r="H2" s="12" t="s">
        <v>122</v>
      </c>
      <c r="I2" s="12" t="s">
        <v>123</v>
      </c>
      <c r="J2" s="13" t="s">
        <v>124</v>
      </c>
    </row>
    <row r="3" spans="1:11" ht="277.2" customHeight="1" x14ac:dyDescent="0.3">
      <c r="A3" s="14">
        <v>19</v>
      </c>
      <c r="B3" s="96" t="s">
        <v>260</v>
      </c>
      <c r="C3" s="16" t="s">
        <v>223</v>
      </c>
      <c r="D3" s="17" t="s">
        <v>176</v>
      </c>
      <c r="E3" s="17" t="s">
        <v>177</v>
      </c>
      <c r="F3" s="17" t="s">
        <v>178</v>
      </c>
      <c r="G3" s="18" t="s">
        <v>179</v>
      </c>
      <c r="H3" s="18" t="s">
        <v>180</v>
      </c>
      <c r="I3" s="17" t="s">
        <v>181</v>
      </c>
      <c r="J3" s="19" t="s">
        <v>224</v>
      </c>
    </row>
    <row r="4" spans="1:11" ht="277.2" customHeight="1" x14ac:dyDescent="0.3">
      <c r="A4" s="14">
        <v>55</v>
      </c>
      <c r="B4" s="97" t="s">
        <v>261</v>
      </c>
      <c r="C4" s="16" t="s">
        <v>161</v>
      </c>
      <c r="D4" s="17" t="s">
        <v>176</v>
      </c>
      <c r="E4" s="17" t="s">
        <v>177</v>
      </c>
      <c r="F4" s="17" t="s">
        <v>178</v>
      </c>
      <c r="G4" s="18" t="s">
        <v>179</v>
      </c>
      <c r="H4" s="18" t="s">
        <v>180</v>
      </c>
      <c r="I4" s="17" t="s">
        <v>181</v>
      </c>
      <c r="J4" s="19" t="s">
        <v>162</v>
      </c>
    </row>
    <row r="5" spans="1:11" ht="277.2" customHeight="1" x14ac:dyDescent="0.3">
      <c r="A5" s="14">
        <v>70</v>
      </c>
      <c r="B5" s="98" t="s">
        <v>262</v>
      </c>
      <c r="C5" s="16" t="s">
        <v>186</v>
      </c>
      <c r="D5" s="17" t="s">
        <v>176</v>
      </c>
      <c r="E5" s="17" t="s">
        <v>177</v>
      </c>
      <c r="F5" s="17" t="s">
        <v>178</v>
      </c>
      <c r="G5" s="18" t="s">
        <v>179</v>
      </c>
      <c r="H5" s="18" t="s">
        <v>180</v>
      </c>
      <c r="I5" s="17" t="s">
        <v>181</v>
      </c>
      <c r="J5" s="19" t="s">
        <v>187</v>
      </c>
    </row>
    <row r="6" spans="1:11" ht="277.2" customHeight="1" x14ac:dyDescent="0.3">
      <c r="A6" s="14">
        <v>71</v>
      </c>
      <c r="B6" s="99" t="s">
        <v>263</v>
      </c>
      <c r="C6" s="16" t="s">
        <v>175</v>
      </c>
      <c r="D6" s="17" t="s">
        <v>176</v>
      </c>
      <c r="E6" s="17" t="s">
        <v>177</v>
      </c>
      <c r="F6" s="17" t="s">
        <v>178</v>
      </c>
      <c r="G6" s="18" t="s">
        <v>179</v>
      </c>
      <c r="H6" s="18" t="s">
        <v>180</v>
      </c>
      <c r="I6" s="17" t="s">
        <v>181</v>
      </c>
      <c r="J6" s="19" t="s">
        <v>182</v>
      </c>
    </row>
    <row r="7" spans="1:11" ht="277.2" customHeight="1" x14ac:dyDescent="0.3">
      <c r="A7" s="14">
        <v>72</v>
      </c>
      <c r="B7" s="100" t="s">
        <v>264</v>
      </c>
      <c r="C7" s="16" t="s">
        <v>157</v>
      </c>
      <c r="D7" s="17" t="s">
        <v>176</v>
      </c>
      <c r="E7" s="17" t="s">
        <v>177</v>
      </c>
      <c r="F7" s="17" t="s">
        <v>178</v>
      </c>
      <c r="G7" s="18" t="s">
        <v>179</v>
      </c>
      <c r="H7" s="18" t="s">
        <v>180</v>
      </c>
      <c r="I7" s="17" t="s">
        <v>181</v>
      </c>
      <c r="J7" s="19" t="s">
        <v>159</v>
      </c>
    </row>
    <row r="8" spans="1:11" ht="277.2" customHeight="1" x14ac:dyDescent="0.3">
      <c r="A8" s="14">
        <v>73</v>
      </c>
      <c r="B8" s="101" t="s">
        <v>265</v>
      </c>
      <c r="C8" s="16" t="s">
        <v>157</v>
      </c>
      <c r="D8" s="17" t="s">
        <v>176</v>
      </c>
      <c r="E8" s="17" t="s">
        <v>177</v>
      </c>
      <c r="F8" s="17" t="s">
        <v>178</v>
      </c>
      <c r="G8" s="18" t="s">
        <v>179</v>
      </c>
      <c r="H8" s="18" t="s">
        <v>180</v>
      </c>
      <c r="I8" s="17" t="s">
        <v>181</v>
      </c>
      <c r="J8" s="19" t="s">
        <v>159</v>
      </c>
    </row>
    <row r="9" spans="1:11" ht="277.2" customHeight="1" x14ac:dyDescent="0.3">
      <c r="A9" s="14">
        <v>74</v>
      </c>
      <c r="B9" s="96" t="s">
        <v>266</v>
      </c>
      <c r="C9" s="16" t="s">
        <v>223</v>
      </c>
      <c r="D9" s="17" t="s">
        <v>176</v>
      </c>
      <c r="E9" s="17" t="s">
        <v>177</v>
      </c>
      <c r="F9" s="17" t="s">
        <v>178</v>
      </c>
      <c r="G9" s="18" t="s">
        <v>179</v>
      </c>
      <c r="H9" s="18" t="s">
        <v>180</v>
      </c>
      <c r="I9" s="17" t="s">
        <v>181</v>
      </c>
      <c r="J9" s="19" t="s">
        <v>224</v>
      </c>
    </row>
    <row r="10" spans="1:11" ht="277.2" customHeight="1" x14ac:dyDescent="0.3">
      <c r="A10" s="14">
        <v>75</v>
      </c>
      <c r="B10" s="102" t="s">
        <v>267</v>
      </c>
      <c r="C10" s="16" t="s">
        <v>223</v>
      </c>
      <c r="D10" s="17" t="s">
        <v>176</v>
      </c>
      <c r="E10" s="17" t="s">
        <v>177</v>
      </c>
      <c r="F10" s="17" t="s">
        <v>178</v>
      </c>
      <c r="G10" s="18" t="s">
        <v>179</v>
      </c>
      <c r="H10" s="18" t="s">
        <v>180</v>
      </c>
      <c r="I10" s="17" t="s">
        <v>181</v>
      </c>
      <c r="J10" s="19" t="s">
        <v>224</v>
      </c>
    </row>
    <row r="11" spans="1:11" ht="277.2" customHeight="1" x14ac:dyDescent="0.3">
      <c r="A11" s="14">
        <v>76</v>
      </c>
      <c r="B11" s="103" t="s">
        <v>268</v>
      </c>
      <c r="C11" s="16" t="s">
        <v>186</v>
      </c>
      <c r="D11" s="17" t="s">
        <v>176</v>
      </c>
      <c r="E11" s="17" t="s">
        <v>177</v>
      </c>
      <c r="F11" s="17" t="s">
        <v>178</v>
      </c>
      <c r="G11" s="18" t="s">
        <v>179</v>
      </c>
      <c r="H11" s="18" t="s">
        <v>180</v>
      </c>
      <c r="I11" s="17" t="s">
        <v>181</v>
      </c>
      <c r="J11" s="19" t="s">
        <v>187</v>
      </c>
    </row>
    <row r="12" spans="1:11" ht="277.2" customHeight="1" x14ac:dyDescent="0.3">
      <c r="A12" s="14">
        <v>77</v>
      </c>
      <c r="B12" s="104" t="s">
        <v>269</v>
      </c>
      <c r="C12" s="16" t="s">
        <v>186</v>
      </c>
      <c r="D12" s="17" t="s">
        <v>176</v>
      </c>
      <c r="E12" s="17" t="s">
        <v>177</v>
      </c>
      <c r="F12" s="17" t="s">
        <v>178</v>
      </c>
      <c r="G12" s="18" t="s">
        <v>179</v>
      </c>
      <c r="H12" s="18" t="s">
        <v>180</v>
      </c>
      <c r="I12" s="17" t="s">
        <v>181</v>
      </c>
      <c r="J12" s="19" t="s">
        <v>187</v>
      </c>
    </row>
    <row r="13" spans="1:11" ht="277.2" customHeight="1" x14ac:dyDescent="0.3">
      <c r="A13" s="14">
        <v>78</v>
      </c>
      <c r="B13" s="105" t="s">
        <v>270</v>
      </c>
      <c r="C13" s="16" t="s">
        <v>223</v>
      </c>
      <c r="D13" s="17" t="s">
        <v>176</v>
      </c>
      <c r="E13" s="17" t="s">
        <v>177</v>
      </c>
      <c r="F13" s="17" t="s">
        <v>178</v>
      </c>
      <c r="G13" s="18" t="s">
        <v>179</v>
      </c>
      <c r="H13" s="18" t="s">
        <v>180</v>
      </c>
      <c r="I13" s="17" t="s">
        <v>181</v>
      </c>
      <c r="J13" s="19" t="s">
        <v>224</v>
      </c>
    </row>
    <row r="14" spans="1:11" ht="277.2" customHeight="1" x14ac:dyDescent="0.3">
      <c r="A14" s="14">
        <v>79</v>
      </c>
      <c r="B14" s="106" t="s">
        <v>271</v>
      </c>
      <c r="C14" s="16" t="s">
        <v>186</v>
      </c>
      <c r="D14" s="17" t="s">
        <v>176</v>
      </c>
      <c r="E14" s="17" t="s">
        <v>177</v>
      </c>
      <c r="F14" s="17" t="s">
        <v>178</v>
      </c>
      <c r="G14" s="18" t="s">
        <v>179</v>
      </c>
      <c r="H14" s="18" t="s">
        <v>180</v>
      </c>
      <c r="I14" s="17" t="s">
        <v>181</v>
      </c>
      <c r="J14" s="19" t="s">
        <v>187</v>
      </c>
    </row>
    <row r="15" spans="1:11" ht="277.2" customHeight="1" x14ac:dyDescent="0.3">
      <c r="A15" s="14">
        <v>80</v>
      </c>
      <c r="B15" s="107" t="s">
        <v>272</v>
      </c>
      <c r="C15" s="16" t="s">
        <v>157</v>
      </c>
      <c r="D15" s="17" t="s">
        <v>176</v>
      </c>
      <c r="E15" s="17" t="s">
        <v>177</v>
      </c>
      <c r="F15" s="17" t="s">
        <v>178</v>
      </c>
      <c r="G15" s="18" t="s">
        <v>179</v>
      </c>
      <c r="H15" s="18" t="s">
        <v>180</v>
      </c>
      <c r="I15" s="17" t="s">
        <v>181</v>
      </c>
      <c r="J15" s="19" t="s">
        <v>159</v>
      </c>
      <c r="K15" s="31"/>
    </row>
    <row r="16" spans="1:11" ht="277.2" customHeight="1" x14ac:dyDescent="0.3">
      <c r="A16" s="14">
        <v>81</v>
      </c>
      <c r="B16" s="102" t="s">
        <v>273</v>
      </c>
      <c r="C16" s="16" t="s">
        <v>186</v>
      </c>
      <c r="D16" s="17" t="s">
        <v>176</v>
      </c>
      <c r="E16" s="17" t="s">
        <v>177</v>
      </c>
      <c r="F16" s="17" t="s">
        <v>178</v>
      </c>
      <c r="G16" s="18" t="s">
        <v>179</v>
      </c>
      <c r="H16" s="18" t="s">
        <v>180</v>
      </c>
      <c r="I16" s="17" t="s">
        <v>181</v>
      </c>
      <c r="J16" s="19" t="s">
        <v>187</v>
      </c>
    </row>
    <row r="17" spans="1:10" ht="277.2" customHeight="1" x14ac:dyDescent="0.3">
      <c r="A17" s="14">
        <v>83</v>
      </c>
      <c r="B17" s="103" t="s">
        <v>274</v>
      </c>
      <c r="C17" s="16" t="s">
        <v>157</v>
      </c>
      <c r="D17" s="17" t="s">
        <v>176</v>
      </c>
      <c r="E17" s="17" t="s">
        <v>177</v>
      </c>
      <c r="F17" s="17" t="s">
        <v>178</v>
      </c>
      <c r="G17" s="18" t="s">
        <v>179</v>
      </c>
      <c r="H17" s="18" t="s">
        <v>180</v>
      </c>
      <c r="I17" s="17" t="s">
        <v>181</v>
      </c>
      <c r="J17" s="19" t="s">
        <v>159</v>
      </c>
    </row>
    <row r="18" spans="1:10" ht="277.2" customHeight="1" x14ac:dyDescent="0.3">
      <c r="A18" s="14">
        <v>84</v>
      </c>
      <c r="B18" s="104" t="s">
        <v>275</v>
      </c>
      <c r="C18" s="16" t="s">
        <v>175</v>
      </c>
      <c r="D18" s="17" t="s">
        <v>176</v>
      </c>
      <c r="E18" s="17" t="s">
        <v>177</v>
      </c>
      <c r="F18" s="17" t="s">
        <v>178</v>
      </c>
      <c r="G18" s="18" t="s">
        <v>179</v>
      </c>
      <c r="H18" s="18" t="s">
        <v>180</v>
      </c>
      <c r="I18" s="17" t="s">
        <v>181</v>
      </c>
      <c r="J18" s="19" t="s">
        <v>182</v>
      </c>
    </row>
    <row r="19" spans="1:10" ht="277.2" customHeight="1" x14ac:dyDescent="0.3">
      <c r="A19" s="14">
        <v>85</v>
      </c>
      <c r="B19" s="105" t="s">
        <v>276</v>
      </c>
      <c r="C19" s="16" t="s">
        <v>175</v>
      </c>
      <c r="D19" s="17" t="s">
        <v>176</v>
      </c>
      <c r="E19" s="17" t="s">
        <v>177</v>
      </c>
      <c r="F19" s="17" t="s">
        <v>178</v>
      </c>
      <c r="G19" s="18" t="s">
        <v>179</v>
      </c>
      <c r="H19" s="18" t="s">
        <v>180</v>
      </c>
      <c r="I19" s="17" t="s">
        <v>181</v>
      </c>
      <c r="J19" s="19" t="s">
        <v>182</v>
      </c>
    </row>
    <row r="20" spans="1:10" ht="277.2" customHeight="1" x14ac:dyDescent="0.3">
      <c r="A20" s="14">
        <v>86</v>
      </c>
      <c r="B20" s="106" t="s">
        <v>277</v>
      </c>
      <c r="C20" s="16" t="s">
        <v>175</v>
      </c>
      <c r="D20" s="17" t="s">
        <v>176</v>
      </c>
      <c r="E20" s="17" t="s">
        <v>177</v>
      </c>
      <c r="F20" s="17" t="s">
        <v>178</v>
      </c>
      <c r="G20" s="18" t="s">
        <v>179</v>
      </c>
      <c r="H20" s="18" t="s">
        <v>180</v>
      </c>
      <c r="I20" s="17" t="s">
        <v>181</v>
      </c>
      <c r="J20" s="19" t="s">
        <v>182</v>
      </c>
    </row>
    <row r="21" spans="1:10" ht="277.2" customHeight="1" thickBot="1" x14ac:dyDescent="0.35">
      <c r="A21" s="32">
        <v>87</v>
      </c>
      <c r="B21" s="108" t="s">
        <v>278</v>
      </c>
      <c r="C21" s="34" t="s">
        <v>175</v>
      </c>
      <c r="D21" s="35" t="s">
        <v>176</v>
      </c>
      <c r="E21" s="35" t="s">
        <v>177</v>
      </c>
      <c r="F21" s="35" t="s">
        <v>178</v>
      </c>
      <c r="G21" s="36" t="s">
        <v>179</v>
      </c>
      <c r="H21" s="36" t="s">
        <v>180</v>
      </c>
      <c r="I21" s="35" t="s">
        <v>181</v>
      </c>
      <c r="J21" s="37" t="s">
        <v>182</v>
      </c>
    </row>
    <row r="22" spans="1:10" ht="277.2" customHeight="1" x14ac:dyDescent="0.3">
      <c r="A22" s="14">
        <v>88</v>
      </c>
      <c r="B22" s="97" t="s">
        <v>279</v>
      </c>
      <c r="C22" s="16" t="s">
        <v>175</v>
      </c>
      <c r="D22" s="17" t="s">
        <v>176</v>
      </c>
      <c r="E22" s="17" t="s">
        <v>177</v>
      </c>
      <c r="F22" s="17" t="s">
        <v>178</v>
      </c>
      <c r="G22" s="18" t="s">
        <v>179</v>
      </c>
      <c r="H22" s="18" t="s">
        <v>180</v>
      </c>
      <c r="I22" s="17" t="s">
        <v>181</v>
      </c>
      <c r="J22" s="19" t="s">
        <v>182</v>
      </c>
    </row>
    <row r="23" spans="1:10" ht="277.2" customHeight="1" x14ac:dyDescent="0.3">
      <c r="A23" s="14">
        <v>89</v>
      </c>
      <c r="B23" s="98" t="s">
        <v>280</v>
      </c>
      <c r="C23" s="16" t="s">
        <v>223</v>
      </c>
      <c r="D23" s="17" t="s">
        <v>176</v>
      </c>
      <c r="E23" s="17" t="s">
        <v>177</v>
      </c>
      <c r="F23" s="17" t="s">
        <v>178</v>
      </c>
      <c r="G23" s="18" t="s">
        <v>179</v>
      </c>
      <c r="H23" s="18" t="s">
        <v>180</v>
      </c>
      <c r="I23" s="17" t="s">
        <v>181</v>
      </c>
      <c r="J23" s="19" t="s">
        <v>224</v>
      </c>
    </row>
    <row r="24" spans="1:10" ht="277.2" customHeight="1" x14ac:dyDescent="0.3">
      <c r="A24" s="14">
        <v>90</v>
      </c>
      <c r="B24" s="99" t="s">
        <v>281</v>
      </c>
      <c r="C24" s="16" t="s">
        <v>223</v>
      </c>
      <c r="D24" s="17" t="s">
        <v>176</v>
      </c>
      <c r="E24" s="17" t="s">
        <v>177</v>
      </c>
      <c r="F24" s="17" t="s">
        <v>178</v>
      </c>
      <c r="G24" s="18" t="s">
        <v>179</v>
      </c>
      <c r="H24" s="18" t="s">
        <v>180</v>
      </c>
      <c r="I24" s="17" t="s">
        <v>181</v>
      </c>
      <c r="J24" s="19" t="s">
        <v>224</v>
      </c>
    </row>
    <row r="25" spans="1:10" ht="277.2" customHeight="1" x14ac:dyDescent="0.3">
      <c r="A25" s="14">
        <v>91</v>
      </c>
      <c r="B25" s="100" t="s">
        <v>282</v>
      </c>
      <c r="C25" s="16" t="s">
        <v>157</v>
      </c>
      <c r="D25" s="17" t="s">
        <v>176</v>
      </c>
      <c r="E25" s="17" t="s">
        <v>177</v>
      </c>
      <c r="F25" s="17" t="s">
        <v>178</v>
      </c>
      <c r="G25" s="18" t="s">
        <v>179</v>
      </c>
      <c r="H25" s="18" t="s">
        <v>180</v>
      </c>
      <c r="I25" s="17" t="s">
        <v>181</v>
      </c>
      <c r="J25" s="19" t="s">
        <v>159</v>
      </c>
    </row>
    <row r="26" spans="1:10" ht="277.2" customHeight="1" x14ac:dyDescent="0.3">
      <c r="A26" s="14">
        <v>92</v>
      </c>
      <c r="B26" s="101" t="s">
        <v>283</v>
      </c>
      <c r="C26" s="16" t="s">
        <v>161</v>
      </c>
      <c r="D26" s="17" t="s">
        <v>176</v>
      </c>
      <c r="E26" s="17" t="s">
        <v>177</v>
      </c>
      <c r="F26" s="17" t="s">
        <v>178</v>
      </c>
      <c r="G26" s="18" t="s">
        <v>179</v>
      </c>
      <c r="H26" s="18" t="s">
        <v>180</v>
      </c>
      <c r="I26" s="17" t="s">
        <v>181</v>
      </c>
      <c r="J26" s="19" t="s">
        <v>162</v>
      </c>
    </row>
    <row r="27" spans="1:10" ht="277.2" customHeight="1" x14ac:dyDescent="0.3">
      <c r="A27" s="14">
        <v>93</v>
      </c>
      <c r="B27" s="96" t="s">
        <v>284</v>
      </c>
      <c r="C27" s="16" t="s">
        <v>161</v>
      </c>
      <c r="D27" s="17" t="s">
        <v>176</v>
      </c>
      <c r="E27" s="17" t="s">
        <v>177</v>
      </c>
      <c r="F27" s="17" t="s">
        <v>178</v>
      </c>
      <c r="G27" s="18" t="s">
        <v>179</v>
      </c>
      <c r="H27" s="18" t="s">
        <v>180</v>
      </c>
      <c r="I27" s="17" t="s">
        <v>181</v>
      </c>
      <c r="J27" s="19" t="s">
        <v>162</v>
      </c>
    </row>
    <row r="28" spans="1:10" ht="277.2" customHeight="1" x14ac:dyDescent="0.3">
      <c r="A28" s="14">
        <v>94</v>
      </c>
      <c r="B28" s="97" t="s">
        <v>285</v>
      </c>
      <c r="C28" s="16" t="s">
        <v>223</v>
      </c>
      <c r="D28" s="17" t="s">
        <v>176</v>
      </c>
      <c r="E28" s="17" t="s">
        <v>177</v>
      </c>
      <c r="F28" s="17" t="s">
        <v>178</v>
      </c>
      <c r="G28" s="18" t="s">
        <v>179</v>
      </c>
      <c r="H28" s="18" t="s">
        <v>180</v>
      </c>
      <c r="I28" s="17" t="s">
        <v>181</v>
      </c>
      <c r="J28" s="19" t="s">
        <v>224</v>
      </c>
    </row>
    <row r="29" spans="1:10" ht="277.2" customHeight="1" x14ac:dyDescent="0.3">
      <c r="A29" s="14">
        <v>95</v>
      </c>
      <c r="B29" s="98" t="s">
        <v>286</v>
      </c>
      <c r="C29" s="16" t="s">
        <v>157</v>
      </c>
      <c r="D29" s="17" t="s">
        <v>176</v>
      </c>
      <c r="E29" s="17" t="s">
        <v>177</v>
      </c>
      <c r="F29" s="17" t="s">
        <v>178</v>
      </c>
      <c r="G29" s="18" t="s">
        <v>179</v>
      </c>
      <c r="H29" s="18" t="s">
        <v>180</v>
      </c>
      <c r="I29" s="17" t="s">
        <v>181</v>
      </c>
      <c r="J29" s="19" t="s">
        <v>159</v>
      </c>
    </row>
    <row r="30" spans="1:10" ht="277.2" customHeight="1" x14ac:dyDescent="0.3">
      <c r="A30" s="14">
        <v>96</v>
      </c>
      <c r="B30" s="99" t="s">
        <v>287</v>
      </c>
      <c r="C30" s="16" t="s">
        <v>157</v>
      </c>
      <c r="D30" s="17" t="s">
        <v>176</v>
      </c>
      <c r="E30" s="17" t="s">
        <v>177</v>
      </c>
      <c r="F30" s="17" t="s">
        <v>178</v>
      </c>
      <c r="G30" s="18" t="s">
        <v>179</v>
      </c>
      <c r="H30" s="18" t="s">
        <v>180</v>
      </c>
      <c r="I30" s="17" t="s">
        <v>181</v>
      </c>
      <c r="J30" s="19" t="s">
        <v>159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1"/>
  <sheetViews>
    <sheetView workbookViewId="0"/>
  </sheetViews>
  <sheetFormatPr defaultRowHeight="14.4" x14ac:dyDescent="0.3"/>
  <cols>
    <col min="1" max="1" width="4.88671875" style="38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196" t="s">
        <v>117</v>
      </c>
      <c r="B1" s="149"/>
      <c r="C1" s="149"/>
      <c r="D1" s="149"/>
      <c r="E1" s="149"/>
      <c r="F1" s="149"/>
      <c r="G1" s="149"/>
      <c r="H1" s="149"/>
      <c r="I1" s="149"/>
      <c r="J1" s="170"/>
    </row>
    <row r="2" spans="1:11" x14ac:dyDescent="0.3">
      <c r="A2" s="10"/>
      <c r="B2" s="11" t="s">
        <v>118</v>
      </c>
      <c r="C2" s="12" t="s">
        <v>155</v>
      </c>
      <c r="D2" s="12" t="s">
        <v>167</v>
      </c>
      <c r="E2" s="12" t="s">
        <v>168</v>
      </c>
      <c r="F2" s="12" t="s">
        <v>169</v>
      </c>
      <c r="G2" s="12" t="s">
        <v>170</v>
      </c>
      <c r="H2" s="12" t="s">
        <v>171</v>
      </c>
      <c r="I2" s="12" t="s">
        <v>172</v>
      </c>
      <c r="J2" s="13" t="s">
        <v>173</v>
      </c>
    </row>
    <row r="3" spans="1:11" ht="277.2" customHeight="1" x14ac:dyDescent="0.3">
      <c r="A3" s="14">
        <v>97</v>
      </c>
      <c r="B3" s="96" t="s">
        <v>288</v>
      </c>
      <c r="C3" s="109" t="s">
        <v>289</v>
      </c>
      <c r="D3" s="109" t="s">
        <v>289</v>
      </c>
      <c r="E3" s="109" t="s">
        <v>289</v>
      </c>
      <c r="F3" s="109" t="s">
        <v>289</v>
      </c>
      <c r="G3" s="109" t="s">
        <v>289</v>
      </c>
      <c r="H3" s="109" t="s">
        <v>289</v>
      </c>
      <c r="I3" s="109" t="s">
        <v>289</v>
      </c>
      <c r="J3" s="110" t="s">
        <v>289</v>
      </c>
    </row>
    <row r="4" spans="1:11" ht="277.2" customHeight="1" x14ac:dyDescent="0.3">
      <c r="A4" s="14">
        <v>98</v>
      </c>
      <c r="B4" s="97" t="s">
        <v>290</v>
      </c>
      <c r="C4" s="109" t="s">
        <v>289</v>
      </c>
      <c r="D4" s="109" t="s">
        <v>289</v>
      </c>
      <c r="E4" s="109" t="s">
        <v>289</v>
      </c>
      <c r="F4" s="109" t="s">
        <v>289</v>
      </c>
      <c r="G4" s="109" t="s">
        <v>289</v>
      </c>
      <c r="H4" s="109" t="s">
        <v>289</v>
      </c>
      <c r="I4" s="109" t="s">
        <v>289</v>
      </c>
      <c r="J4" s="110" t="s">
        <v>289</v>
      </c>
    </row>
    <row r="5" spans="1:11" ht="277.2" customHeight="1" x14ac:dyDescent="0.3">
      <c r="A5" s="14"/>
      <c r="B5" s="21"/>
      <c r="C5" s="16"/>
      <c r="D5" s="17"/>
      <c r="E5" s="17"/>
      <c r="F5" s="17"/>
      <c r="G5" s="18"/>
      <c r="H5" s="18"/>
      <c r="I5" s="17"/>
      <c r="J5" s="19"/>
    </row>
    <row r="6" spans="1:11" ht="277.2" customHeight="1" x14ac:dyDescent="0.3">
      <c r="A6" s="14"/>
      <c r="B6" s="22"/>
      <c r="C6" s="16"/>
      <c r="D6" s="17"/>
      <c r="E6" s="17"/>
      <c r="F6" s="17"/>
      <c r="G6" s="18"/>
      <c r="H6" s="18"/>
      <c r="I6" s="17"/>
      <c r="J6" s="19"/>
    </row>
    <row r="7" spans="1:11" ht="277.2" customHeight="1" x14ac:dyDescent="0.3">
      <c r="A7" s="14"/>
      <c r="B7" s="23"/>
      <c r="C7" s="16"/>
      <c r="D7" s="17"/>
      <c r="E7" s="17"/>
      <c r="F7" s="17"/>
      <c r="G7" s="18"/>
      <c r="H7" s="18"/>
      <c r="I7" s="17"/>
      <c r="J7" s="19"/>
    </row>
    <row r="8" spans="1:11" ht="290.39999999999998" customHeight="1" x14ac:dyDescent="0.3">
      <c r="A8" s="14"/>
      <c r="B8" s="24"/>
      <c r="C8" s="16"/>
      <c r="D8" s="17"/>
      <c r="E8" s="17"/>
      <c r="F8" s="17"/>
      <c r="G8" s="18"/>
      <c r="H8" s="18"/>
      <c r="I8" s="17"/>
      <c r="J8" s="19"/>
    </row>
    <row r="9" spans="1:11" ht="290.39999999999998" customHeight="1" x14ac:dyDescent="0.3">
      <c r="A9" s="14"/>
      <c r="B9" s="15"/>
      <c r="C9" s="16"/>
      <c r="D9" s="17"/>
      <c r="E9" s="17"/>
      <c r="F9" s="17"/>
      <c r="G9" s="18"/>
      <c r="H9" s="18"/>
      <c r="I9" s="17"/>
      <c r="J9" s="19"/>
    </row>
    <row r="10" spans="1:11" ht="290.39999999999998" customHeight="1" x14ac:dyDescent="0.3">
      <c r="A10" s="14"/>
      <c r="B10" s="25"/>
      <c r="C10" s="16"/>
      <c r="D10" s="17"/>
      <c r="E10" s="17"/>
      <c r="F10" s="17"/>
      <c r="G10" s="18"/>
      <c r="H10" s="18"/>
      <c r="I10" s="17"/>
      <c r="J10" s="19"/>
    </row>
    <row r="11" spans="1:11" ht="264" customHeight="1" x14ac:dyDescent="0.3">
      <c r="A11" s="14"/>
      <c r="B11" s="26"/>
      <c r="C11" s="16"/>
      <c r="D11" s="17"/>
      <c r="E11" s="17"/>
      <c r="F11" s="17"/>
      <c r="G11" s="18"/>
      <c r="H11" s="18"/>
      <c r="I11" s="17"/>
      <c r="J11" s="19"/>
    </row>
    <row r="12" spans="1:11" ht="264" customHeight="1" x14ac:dyDescent="0.3">
      <c r="A12" s="14"/>
      <c r="B12" s="27"/>
      <c r="C12" s="16"/>
      <c r="D12" s="17"/>
      <c r="E12" s="17"/>
      <c r="F12" s="17"/>
      <c r="G12" s="18"/>
      <c r="H12" s="18"/>
      <c r="I12" s="17"/>
      <c r="J12" s="19"/>
    </row>
    <row r="13" spans="1:11" ht="264" customHeight="1" x14ac:dyDescent="0.3">
      <c r="A13" s="14"/>
      <c r="B13" s="28"/>
      <c r="C13" s="16"/>
      <c r="D13" s="17"/>
      <c r="E13" s="17"/>
      <c r="F13" s="17"/>
      <c r="G13" s="18"/>
      <c r="H13" s="18"/>
      <c r="I13" s="17"/>
      <c r="J13" s="19"/>
    </row>
    <row r="14" spans="1:11" ht="264" customHeight="1" x14ac:dyDescent="0.3">
      <c r="A14" s="14"/>
      <c r="B14" s="29"/>
      <c r="C14" s="16"/>
      <c r="D14" s="17"/>
      <c r="E14" s="17"/>
      <c r="F14" s="17"/>
      <c r="G14" s="18"/>
      <c r="H14" s="18"/>
      <c r="I14" s="17"/>
      <c r="J14" s="19"/>
    </row>
    <row r="15" spans="1:11" ht="303.60000000000002" customHeight="1" x14ac:dyDescent="0.3">
      <c r="A15" s="14"/>
      <c r="B15" s="30"/>
      <c r="C15" s="16"/>
      <c r="D15" s="17"/>
      <c r="E15" s="17"/>
      <c r="F15" s="17"/>
      <c r="G15" s="18"/>
      <c r="H15" s="18"/>
      <c r="I15" s="17"/>
      <c r="J15" s="19"/>
      <c r="K15" s="31"/>
    </row>
    <row r="16" spans="1:11" ht="277.2" customHeight="1" x14ac:dyDescent="0.3">
      <c r="A16" s="14"/>
      <c r="B16" s="25"/>
      <c r="C16" s="16"/>
      <c r="D16" s="17"/>
      <c r="E16" s="17"/>
      <c r="F16" s="17"/>
      <c r="G16" s="18"/>
      <c r="H16" s="18"/>
      <c r="I16" s="17"/>
      <c r="J16" s="19"/>
    </row>
    <row r="17" spans="1:10" ht="290.39999999999998" customHeight="1" x14ac:dyDescent="0.3">
      <c r="A17" s="14"/>
      <c r="B17" s="26"/>
      <c r="C17" s="16"/>
      <c r="D17" s="17"/>
      <c r="E17" s="17"/>
      <c r="F17" s="17"/>
      <c r="G17" s="18"/>
      <c r="H17" s="18"/>
      <c r="I17" s="17"/>
      <c r="J17" s="19"/>
    </row>
    <row r="18" spans="1:10" ht="290.39999999999998" customHeight="1" x14ac:dyDescent="0.3">
      <c r="A18" s="14"/>
      <c r="B18" s="27"/>
      <c r="C18" s="16"/>
      <c r="D18" s="17"/>
      <c r="E18" s="17"/>
      <c r="F18" s="17"/>
      <c r="G18" s="18"/>
      <c r="H18" s="18"/>
      <c r="I18" s="17"/>
      <c r="J18" s="19"/>
    </row>
    <row r="19" spans="1:10" ht="290.39999999999998" customHeight="1" x14ac:dyDescent="0.3">
      <c r="A19" s="14"/>
      <c r="B19" s="28"/>
      <c r="C19" s="16"/>
      <c r="D19" s="17"/>
      <c r="E19" s="17"/>
      <c r="F19" s="17"/>
      <c r="G19" s="18"/>
      <c r="H19" s="18"/>
      <c r="I19" s="17"/>
      <c r="J19" s="19"/>
    </row>
    <row r="20" spans="1:10" ht="290.39999999999998" customHeight="1" x14ac:dyDescent="0.3">
      <c r="A20" s="14"/>
      <c r="B20" s="29"/>
      <c r="C20" s="16"/>
      <c r="D20" s="17"/>
      <c r="E20" s="17"/>
      <c r="F20" s="17"/>
      <c r="G20" s="18"/>
      <c r="H20" s="18"/>
      <c r="I20" s="17"/>
      <c r="J20" s="19"/>
    </row>
    <row r="21" spans="1:10" ht="291" customHeight="1" thickBot="1" x14ac:dyDescent="0.35">
      <c r="A21" s="32"/>
      <c r="B21" s="33"/>
      <c r="C21" s="34"/>
      <c r="D21" s="35"/>
      <c r="E21" s="35"/>
      <c r="F21" s="35"/>
      <c r="G21" s="36"/>
      <c r="H21" s="36"/>
      <c r="I21" s="35"/>
      <c r="J21" s="37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0"/>
  <sheetViews>
    <sheetView showGridLines="0" workbookViewId="0">
      <pane ySplit="2" topLeftCell="A3" activePane="bottomLeft" state="frozen"/>
      <selection pane="bottomLeft" activeCell="P6" sqref="P6"/>
    </sheetView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30" t="s">
        <v>0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2:11" s="3" customFormat="1" ht="24.6" customHeight="1" thickBot="1" x14ac:dyDescent="0.35">
      <c r="B2" s="122" t="s">
        <v>1</v>
      </c>
      <c r="C2" s="123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63</v>
      </c>
      <c r="G3" s="41">
        <v>3</v>
      </c>
      <c r="H3" s="41" t="s">
        <v>11</v>
      </c>
      <c r="I3" s="41"/>
      <c r="J3" s="42">
        <v>46284</v>
      </c>
      <c r="K3" s="43">
        <f>F3+G3</f>
        <v>66</v>
      </c>
    </row>
    <row r="4" spans="2:11" ht="19.95" customHeight="1" x14ac:dyDescent="0.3">
      <c r="B4" s="44">
        <v>34</v>
      </c>
      <c r="C4" s="45" t="s">
        <v>12</v>
      </c>
      <c r="D4" s="45">
        <v>25</v>
      </c>
      <c r="E4" s="45">
        <v>6</v>
      </c>
      <c r="F4" s="46">
        <v>31</v>
      </c>
      <c r="G4" s="46">
        <v>1</v>
      </c>
      <c r="H4" s="46" t="s">
        <v>13</v>
      </c>
      <c r="I4" s="46"/>
      <c r="J4" s="47">
        <v>46360</v>
      </c>
      <c r="K4" s="48">
        <f>F4+G4</f>
        <v>32</v>
      </c>
    </row>
    <row r="5" spans="2:11" ht="19.95" customHeight="1" x14ac:dyDescent="0.3">
      <c r="B5" s="49">
        <v>9</v>
      </c>
      <c r="C5" s="50" t="s">
        <v>14</v>
      </c>
      <c r="D5" s="50">
        <v>30</v>
      </c>
      <c r="E5" s="50">
        <v>3</v>
      </c>
      <c r="F5" s="51">
        <v>33</v>
      </c>
      <c r="G5" s="51">
        <v>2</v>
      </c>
      <c r="H5" s="51" t="s">
        <v>11</v>
      </c>
      <c r="I5" s="51"/>
      <c r="J5" s="127" t="s">
        <v>15</v>
      </c>
      <c r="K5" s="137">
        <f>SUM(F5:F28)+SUM(G5:G28)</f>
        <v>777</v>
      </c>
    </row>
    <row r="6" spans="2:11" ht="19.95" customHeight="1" x14ac:dyDescent="0.3">
      <c r="B6" s="49">
        <v>10</v>
      </c>
      <c r="C6" s="50" t="s">
        <v>16</v>
      </c>
      <c r="D6" s="50">
        <v>24</v>
      </c>
      <c r="E6" s="50">
        <v>2</v>
      </c>
      <c r="F6" s="51">
        <v>26</v>
      </c>
      <c r="G6" s="51">
        <v>2</v>
      </c>
      <c r="H6" s="51" t="s">
        <v>11</v>
      </c>
      <c r="I6" s="51"/>
      <c r="J6" s="128"/>
      <c r="K6" s="138"/>
    </row>
    <row r="7" spans="2:11" ht="19.95" customHeight="1" x14ac:dyDescent="0.3">
      <c r="B7" s="49">
        <v>11</v>
      </c>
      <c r="C7" s="50" t="s">
        <v>17</v>
      </c>
      <c r="D7" s="50">
        <v>20</v>
      </c>
      <c r="E7" s="50">
        <v>2</v>
      </c>
      <c r="F7" s="51">
        <v>22</v>
      </c>
      <c r="G7" s="51">
        <v>1</v>
      </c>
      <c r="H7" s="51" t="s">
        <v>11</v>
      </c>
      <c r="I7" s="51"/>
      <c r="J7" s="128"/>
      <c r="K7" s="138"/>
    </row>
    <row r="8" spans="2:11" ht="19.95" customHeight="1" x14ac:dyDescent="0.3">
      <c r="B8" s="49">
        <v>12</v>
      </c>
      <c r="C8" s="50" t="s">
        <v>18</v>
      </c>
      <c r="D8" s="50">
        <v>27</v>
      </c>
      <c r="E8" s="50">
        <v>0</v>
      </c>
      <c r="F8" s="51">
        <v>27</v>
      </c>
      <c r="G8" s="51">
        <v>1</v>
      </c>
      <c r="H8" s="51" t="s">
        <v>11</v>
      </c>
      <c r="I8" s="51"/>
      <c r="J8" s="128"/>
      <c r="K8" s="138"/>
    </row>
    <row r="9" spans="2:11" ht="19.95" customHeight="1" thickBot="1" x14ac:dyDescent="0.35">
      <c r="B9" s="49">
        <v>13</v>
      </c>
      <c r="C9" s="50" t="s">
        <v>19</v>
      </c>
      <c r="D9" s="50">
        <v>79</v>
      </c>
      <c r="E9" s="50">
        <v>0</v>
      </c>
      <c r="F9" s="51">
        <v>79</v>
      </c>
      <c r="G9" s="51">
        <v>4</v>
      </c>
      <c r="H9" s="51" t="s">
        <v>11</v>
      </c>
      <c r="I9" s="51"/>
      <c r="J9" s="128"/>
      <c r="K9" s="138"/>
    </row>
    <row r="10" spans="2:11" ht="19.95" customHeight="1" x14ac:dyDescent="0.3">
      <c r="B10" s="49">
        <v>14</v>
      </c>
      <c r="C10" s="50" t="s">
        <v>20</v>
      </c>
      <c r="D10" s="50">
        <v>24</v>
      </c>
      <c r="E10" s="50">
        <v>4</v>
      </c>
      <c r="F10" s="51">
        <v>28</v>
      </c>
      <c r="G10" s="51">
        <v>0</v>
      </c>
      <c r="H10" s="51" t="s">
        <v>11</v>
      </c>
      <c r="I10" s="51"/>
      <c r="J10" s="128"/>
      <c r="K10" s="138"/>
    </row>
    <row r="11" spans="2:11" ht="19.95" customHeight="1" x14ac:dyDescent="0.3">
      <c r="B11" s="49">
        <v>15</v>
      </c>
      <c r="C11" s="50" t="s">
        <v>21</v>
      </c>
      <c r="D11" s="50">
        <v>35</v>
      </c>
      <c r="E11" s="50">
        <v>7</v>
      </c>
      <c r="F11" s="51">
        <v>42</v>
      </c>
      <c r="G11" s="51">
        <v>3</v>
      </c>
      <c r="H11" s="51" t="s">
        <v>11</v>
      </c>
      <c r="I11" s="51"/>
      <c r="J11" s="128"/>
      <c r="K11" s="138"/>
    </row>
    <row r="12" spans="2:11" ht="19.95" customHeight="1" x14ac:dyDescent="0.3">
      <c r="B12" s="49">
        <v>16</v>
      </c>
      <c r="C12" s="50" t="s">
        <v>22</v>
      </c>
      <c r="D12" s="50">
        <v>24</v>
      </c>
      <c r="E12" s="50">
        <v>2</v>
      </c>
      <c r="F12" s="51">
        <v>26</v>
      </c>
      <c r="G12" s="51">
        <v>0</v>
      </c>
      <c r="H12" s="51" t="s">
        <v>23</v>
      </c>
      <c r="I12" s="51"/>
      <c r="J12" s="128"/>
      <c r="K12" s="138"/>
    </row>
    <row r="13" spans="2:11" ht="19.95" customHeight="1" x14ac:dyDescent="0.3">
      <c r="B13" s="49">
        <v>17</v>
      </c>
      <c r="C13" s="50" t="s">
        <v>24</v>
      </c>
      <c r="D13" s="50">
        <v>31</v>
      </c>
      <c r="E13" s="50">
        <v>7</v>
      </c>
      <c r="F13" s="51">
        <v>38</v>
      </c>
      <c r="G13" s="51">
        <v>0</v>
      </c>
      <c r="H13" s="51" t="s">
        <v>11</v>
      </c>
      <c r="I13" s="51"/>
      <c r="J13" s="128"/>
      <c r="K13" s="138"/>
    </row>
    <row r="14" spans="2:11" ht="19.95" customHeight="1" x14ac:dyDescent="0.3">
      <c r="B14" s="49">
        <v>18</v>
      </c>
      <c r="C14" s="50" t="s">
        <v>25</v>
      </c>
      <c r="D14" s="50">
        <v>29</v>
      </c>
      <c r="E14" s="50">
        <v>3</v>
      </c>
      <c r="F14" s="51">
        <v>32</v>
      </c>
      <c r="G14" s="51">
        <v>1</v>
      </c>
      <c r="H14" s="51" t="s">
        <v>11</v>
      </c>
      <c r="I14" s="51"/>
      <c r="J14" s="128"/>
      <c r="K14" s="138"/>
    </row>
    <row r="15" spans="2:11" ht="19.95" customHeight="1" thickBot="1" x14ac:dyDescent="0.35">
      <c r="B15" s="49">
        <v>20</v>
      </c>
      <c r="C15" s="50" t="s">
        <v>26</v>
      </c>
      <c r="D15" s="50">
        <v>20</v>
      </c>
      <c r="E15" s="50">
        <v>0</v>
      </c>
      <c r="F15" s="51">
        <v>20</v>
      </c>
      <c r="G15" s="51">
        <v>1</v>
      </c>
      <c r="H15" s="51" t="s">
        <v>11</v>
      </c>
      <c r="I15" s="51"/>
      <c r="J15" s="128"/>
      <c r="K15" s="138"/>
    </row>
    <row r="16" spans="2:11" ht="19.95" customHeight="1" x14ac:dyDescent="0.3">
      <c r="B16" s="49">
        <v>21</v>
      </c>
      <c r="C16" s="50" t="s">
        <v>27</v>
      </c>
      <c r="D16" s="50">
        <v>25</v>
      </c>
      <c r="E16" s="50">
        <v>0</v>
      </c>
      <c r="F16" s="51">
        <v>25</v>
      </c>
      <c r="G16" s="51">
        <v>2</v>
      </c>
      <c r="H16" s="51" t="s">
        <v>11</v>
      </c>
      <c r="I16" s="51"/>
      <c r="J16" s="128"/>
      <c r="K16" s="138"/>
    </row>
    <row r="17" spans="2:11" ht="19.95" customHeight="1" x14ac:dyDescent="0.3">
      <c r="B17" s="49">
        <v>22</v>
      </c>
      <c r="C17" s="50" t="s">
        <v>28</v>
      </c>
      <c r="D17" s="50">
        <v>75</v>
      </c>
      <c r="E17" s="50">
        <v>0</v>
      </c>
      <c r="F17" s="51">
        <v>75</v>
      </c>
      <c r="G17" s="51">
        <v>4</v>
      </c>
      <c r="H17" s="51" t="s">
        <v>11</v>
      </c>
      <c r="I17" s="51"/>
      <c r="J17" s="128"/>
      <c r="K17" s="138"/>
    </row>
    <row r="18" spans="2:11" ht="19.95" customHeight="1" x14ac:dyDescent="0.3">
      <c r="B18" s="49">
        <v>23</v>
      </c>
      <c r="C18" s="50" t="s">
        <v>29</v>
      </c>
      <c r="D18" s="50">
        <v>24</v>
      </c>
      <c r="E18" s="50">
        <v>2</v>
      </c>
      <c r="F18" s="51">
        <v>26</v>
      </c>
      <c r="G18" s="51">
        <v>0</v>
      </c>
      <c r="H18" s="51" t="s">
        <v>23</v>
      </c>
      <c r="I18" s="51"/>
      <c r="J18" s="128"/>
      <c r="K18" s="138"/>
    </row>
    <row r="19" spans="2:11" ht="19.95" customHeight="1" x14ac:dyDescent="0.3">
      <c r="B19" s="49">
        <v>24</v>
      </c>
      <c r="C19" s="50" t="s">
        <v>30</v>
      </c>
      <c r="D19" s="50">
        <v>27</v>
      </c>
      <c r="E19" s="50">
        <v>4</v>
      </c>
      <c r="F19" s="51">
        <v>31</v>
      </c>
      <c r="G19" s="51">
        <v>2</v>
      </c>
      <c r="H19" s="51" t="s">
        <v>23</v>
      </c>
      <c r="I19" s="51"/>
      <c r="J19" s="128"/>
      <c r="K19" s="138"/>
    </row>
    <row r="20" spans="2:11" ht="19.95" customHeight="1" x14ac:dyDescent="0.3">
      <c r="B20" s="49">
        <v>25</v>
      </c>
      <c r="C20" s="50" t="s">
        <v>31</v>
      </c>
      <c r="D20" s="50">
        <v>19</v>
      </c>
      <c r="E20" s="50">
        <v>4</v>
      </c>
      <c r="F20" s="51">
        <v>23</v>
      </c>
      <c r="G20" s="51">
        <v>1</v>
      </c>
      <c r="H20" s="51" t="s">
        <v>23</v>
      </c>
      <c r="I20" s="51"/>
      <c r="J20" s="128"/>
      <c r="K20" s="138"/>
    </row>
    <row r="21" spans="2:11" ht="19.95" customHeight="1" x14ac:dyDescent="0.3">
      <c r="B21" s="49">
        <v>26</v>
      </c>
      <c r="C21" s="50" t="s">
        <v>32</v>
      </c>
      <c r="D21" s="50">
        <v>9</v>
      </c>
      <c r="E21" s="50">
        <v>0</v>
      </c>
      <c r="F21" s="51">
        <v>9</v>
      </c>
      <c r="G21" s="51">
        <v>1</v>
      </c>
      <c r="H21" s="51" t="s">
        <v>13</v>
      </c>
      <c r="I21" s="51"/>
      <c r="J21" s="128"/>
      <c r="K21" s="138"/>
    </row>
    <row r="22" spans="2:11" ht="19.95" customHeight="1" thickBot="1" x14ac:dyDescent="0.35">
      <c r="B22" s="49">
        <v>27</v>
      </c>
      <c r="C22" s="50" t="s">
        <v>33</v>
      </c>
      <c r="D22" s="50">
        <v>18</v>
      </c>
      <c r="E22" s="50">
        <v>4</v>
      </c>
      <c r="F22" s="51">
        <v>22</v>
      </c>
      <c r="G22" s="51">
        <v>2</v>
      </c>
      <c r="H22" s="51" t="s">
        <v>23</v>
      </c>
      <c r="I22" s="51"/>
      <c r="J22" s="128"/>
      <c r="K22" s="138"/>
    </row>
    <row r="23" spans="2:11" ht="21.6" customHeight="1" x14ac:dyDescent="0.3">
      <c r="B23" s="49">
        <v>28</v>
      </c>
      <c r="C23" s="50" t="s">
        <v>34</v>
      </c>
      <c r="D23" s="50">
        <v>23</v>
      </c>
      <c r="E23" s="50">
        <v>4</v>
      </c>
      <c r="F23" s="51">
        <v>27</v>
      </c>
      <c r="G23" s="51">
        <v>0</v>
      </c>
      <c r="H23" s="51" t="s">
        <v>35</v>
      </c>
      <c r="I23" s="51"/>
      <c r="J23" s="128"/>
      <c r="K23" s="138"/>
    </row>
    <row r="24" spans="2:11" ht="21.6" customHeight="1" x14ac:dyDescent="0.3">
      <c r="B24" s="49">
        <v>29</v>
      </c>
      <c r="C24" s="50" t="s">
        <v>36</v>
      </c>
      <c r="D24" s="50">
        <v>46</v>
      </c>
      <c r="E24" s="50">
        <v>0</v>
      </c>
      <c r="F24" s="51">
        <v>46</v>
      </c>
      <c r="G24" s="51">
        <v>2</v>
      </c>
      <c r="H24" s="51" t="s">
        <v>37</v>
      </c>
      <c r="I24" s="51"/>
      <c r="J24" s="128"/>
      <c r="K24" s="138"/>
    </row>
    <row r="25" spans="2:11" ht="21.6" customHeight="1" x14ac:dyDescent="0.3">
      <c r="B25" s="49">
        <v>30</v>
      </c>
      <c r="C25" s="50" t="s">
        <v>38</v>
      </c>
      <c r="D25" s="50">
        <v>18</v>
      </c>
      <c r="E25" s="50">
        <v>4</v>
      </c>
      <c r="F25" s="51">
        <v>22</v>
      </c>
      <c r="G25" s="51">
        <v>0</v>
      </c>
      <c r="H25" s="51" t="s">
        <v>35</v>
      </c>
      <c r="I25" s="51"/>
      <c r="J25" s="128"/>
      <c r="K25" s="138"/>
    </row>
    <row r="26" spans="2:11" ht="21.6" customHeight="1" x14ac:dyDescent="0.3">
      <c r="B26" s="49">
        <v>31</v>
      </c>
      <c r="C26" s="50" t="s">
        <v>39</v>
      </c>
      <c r="D26" s="50">
        <v>22</v>
      </c>
      <c r="E26" s="50">
        <v>0</v>
      </c>
      <c r="F26" s="51">
        <v>22</v>
      </c>
      <c r="G26" s="51">
        <v>1</v>
      </c>
      <c r="H26" s="51" t="s">
        <v>35</v>
      </c>
      <c r="I26" s="51"/>
      <c r="J26" s="128"/>
      <c r="K26" s="138"/>
    </row>
    <row r="27" spans="2:11" ht="21.6" customHeight="1" x14ac:dyDescent="0.3">
      <c r="B27" s="49">
        <v>32</v>
      </c>
      <c r="C27" s="50" t="s">
        <v>40</v>
      </c>
      <c r="D27" s="50">
        <v>24</v>
      </c>
      <c r="E27" s="50">
        <v>0</v>
      </c>
      <c r="F27" s="51">
        <v>24</v>
      </c>
      <c r="G27" s="51">
        <v>1</v>
      </c>
      <c r="H27" s="51" t="s">
        <v>35</v>
      </c>
      <c r="I27" s="51"/>
      <c r="J27" s="128"/>
      <c r="K27" s="138"/>
    </row>
    <row r="28" spans="2:11" ht="21.6" customHeight="1" x14ac:dyDescent="0.3">
      <c r="B28" s="49">
        <v>33</v>
      </c>
      <c r="C28" s="50" t="s">
        <v>41</v>
      </c>
      <c r="D28" s="50">
        <v>20</v>
      </c>
      <c r="E28" s="50">
        <v>0</v>
      </c>
      <c r="F28" s="51">
        <v>20</v>
      </c>
      <c r="G28" s="51">
        <v>1</v>
      </c>
      <c r="H28" s="51" t="s">
        <v>35</v>
      </c>
      <c r="I28" s="51"/>
      <c r="J28" s="129"/>
      <c r="K28" s="139"/>
    </row>
    <row r="29" spans="2:11" ht="21.6" customHeight="1" x14ac:dyDescent="0.3">
      <c r="B29" s="54">
        <v>40</v>
      </c>
      <c r="C29" s="55" t="s">
        <v>42</v>
      </c>
      <c r="D29" s="55">
        <v>34</v>
      </c>
      <c r="E29" s="55">
        <v>3</v>
      </c>
      <c r="F29" s="56">
        <v>37</v>
      </c>
      <c r="G29" s="56">
        <v>1</v>
      </c>
      <c r="H29" s="56" t="s">
        <v>23</v>
      </c>
      <c r="I29" s="56"/>
      <c r="J29" s="133">
        <v>46367</v>
      </c>
      <c r="K29" s="135">
        <f>SUM(F29:F30)+SUM(G29:G30)</f>
        <v>71</v>
      </c>
    </row>
    <row r="30" spans="2:11" ht="21.6" customHeight="1" thickBot="1" x14ac:dyDescent="0.35">
      <c r="B30" s="54">
        <v>42</v>
      </c>
      <c r="C30" s="55" t="s">
        <v>43</v>
      </c>
      <c r="D30" s="55">
        <v>29</v>
      </c>
      <c r="E30" s="55">
        <v>3</v>
      </c>
      <c r="F30" s="56">
        <v>32</v>
      </c>
      <c r="G30" s="56">
        <v>1</v>
      </c>
      <c r="H30" s="56" t="s">
        <v>23</v>
      </c>
      <c r="I30" s="56"/>
      <c r="J30" s="134"/>
      <c r="K30" s="136"/>
    </row>
    <row r="31" spans="2:11" ht="21.6" customHeight="1" x14ac:dyDescent="0.3">
      <c r="B31" s="59">
        <v>35</v>
      </c>
      <c r="C31" s="60" t="s">
        <v>44</v>
      </c>
      <c r="D31" s="60">
        <v>26</v>
      </c>
      <c r="E31" s="60">
        <v>2</v>
      </c>
      <c r="F31" s="61">
        <v>28</v>
      </c>
      <c r="G31" s="61">
        <v>0</v>
      </c>
      <c r="H31" s="61" t="s">
        <v>11</v>
      </c>
      <c r="I31" s="61"/>
      <c r="J31" s="124" t="s">
        <v>45</v>
      </c>
      <c r="K31" s="119">
        <f>SUM(F31:F63)+SUM(G31:G63)</f>
        <v>1016</v>
      </c>
    </row>
    <row r="32" spans="2:11" ht="21.6" customHeight="1" x14ac:dyDescent="0.3">
      <c r="B32" s="59">
        <v>36</v>
      </c>
      <c r="C32" s="60" t="s">
        <v>46</v>
      </c>
      <c r="D32" s="60">
        <v>35</v>
      </c>
      <c r="E32" s="60">
        <v>0</v>
      </c>
      <c r="F32" s="61">
        <v>35</v>
      </c>
      <c r="G32" s="61">
        <v>2</v>
      </c>
      <c r="H32" s="61" t="s">
        <v>11</v>
      </c>
      <c r="I32" s="61"/>
      <c r="J32" s="125"/>
      <c r="K32" s="120"/>
    </row>
    <row r="33" spans="2:11" ht="21.6" customHeight="1" x14ac:dyDescent="0.3">
      <c r="B33" s="59">
        <v>37</v>
      </c>
      <c r="C33" s="60" t="s">
        <v>47</v>
      </c>
      <c r="D33" s="60">
        <v>28</v>
      </c>
      <c r="E33" s="60">
        <v>2</v>
      </c>
      <c r="F33" s="61">
        <v>30</v>
      </c>
      <c r="G33" s="61">
        <v>2</v>
      </c>
      <c r="H33" s="61" t="s">
        <v>11</v>
      </c>
      <c r="I33" s="61"/>
      <c r="J33" s="125"/>
      <c r="K33" s="120"/>
    </row>
    <row r="34" spans="2:11" ht="21.6" customHeight="1" x14ac:dyDescent="0.3">
      <c r="B34" s="59">
        <v>38</v>
      </c>
      <c r="C34" s="60" t="s">
        <v>48</v>
      </c>
      <c r="D34" s="60">
        <v>39</v>
      </c>
      <c r="E34" s="60">
        <v>4</v>
      </c>
      <c r="F34" s="61">
        <v>43</v>
      </c>
      <c r="G34" s="61">
        <v>3</v>
      </c>
      <c r="H34" s="61" t="s">
        <v>13</v>
      </c>
      <c r="I34" s="61"/>
      <c r="J34" s="125"/>
      <c r="K34" s="120"/>
    </row>
    <row r="35" spans="2:11" ht="21.6" customHeight="1" x14ac:dyDescent="0.3">
      <c r="B35" s="59">
        <v>39</v>
      </c>
      <c r="C35" s="60" t="s">
        <v>49</v>
      </c>
      <c r="D35" s="60">
        <v>25</v>
      </c>
      <c r="E35" s="60">
        <v>5</v>
      </c>
      <c r="F35" s="61">
        <v>30</v>
      </c>
      <c r="G35" s="61">
        <v>0</v>
      </c>
      <c r="H35" s="61" t="s">
        <v>11</v>
      </c>
      <c r="I35" s="61"/>
      <c r="J35" s="125"/>
      <c r="K35" s="120"/>
    </row>
    <row r="36" spans="2:11" ht="21.6" customHeight="1" x14ac:dyDescent="0.3">
      <c r="B36" s="59">
        <v>41</v>
      </c>
      <c r="C36" s="60" t="s">
        <v>50</v>
      </c>
      <c r="D36" s="60">
        <v>30</v>
      </c>
      <c r="E36" s="60">
        <v>5</v>
      </c>
      <c r="F36" s="61">
        <v>35</v>
      </c>
      <c r="G36" s="61">
        <v>0</v>
      </c>
      <c r="H36" s="61" t="s">
        <v>11</v>
      </c>
      <c r="I36" s="61"/>
      <c r="J36" s="125"/>
      <c r="K36" s="120"/>
    </row>
    <row r="37" spans="2:11" ht="21.6" customHeight="1" x14ac:dyDescent="0.3">
      <c r="B37" s="59">
        <v>43</v>
      </c>
      <c r="C37" s="60" t="s">
        <v>51</v>
      </c>
      <c r="D37" s="60">
        <v>27</v>
      </c>
      <c r="E37" s="60">
        <v>2</v>
      </c>
      <c r="F37" s="61">
        <v>29</v>
      </c>
      <c r="G37" s="61">
        <v>1</v>
      </c>
      <c r="H37" s="61" t="s">
        <v>11</v>
      </c>
      <c r="I37" s="61"/>
      <c r="J37" s="125"/>
      <c r="K37" s="120"/>
    </row>
    <row r="38" spans="2:11" ht="21.6" customHeight="1" x14ac:dyDescent="0.3">
      <c r="B38" s="59">
        <v>44</v>
      </c>
      <c r="C38" s="60" t="s">
        <v>52</v>
      </c>
      <c r="D38" s="60">
        <v>25</v>
      </c>
      <c r="E38" s="60">
        <v>4</v>
      </c>
      <c r="F38" s="61">
        <v>29</v>
      </c>
      <c r="G38" s="61">
        <v>0</v>
      </c>
      <c r="H38" s="61" t="s">
        <v>11</v>
      </c>
      <c r="I38" s="61"/>
      <c r="J38" s="125"/>
      <c r="K38" s="120"/>
    </row>
    <row r="39" spans="2:11" ht="21.6" customHeight="1" x14ac:dyDescent="0.3">
      <c r="B39" s="59">
        <v>45</v>
      </c>
      <c r="C39" s="60" t="s">
        <v>53</v>
      </c>
      <c r="D39" s="60">
        <v>26</v>
      </c>
      <c r="E39" s="60">
        <v>0</v>
      </c>
      <c r="F39" s="61">
        <v>26</v>
      </c>
      <c r="G39" s="61">
        <v>2</v>
      </c>
      <c r="H39" s="61" t="s">
        <v>11</v>
      </c>
      <c r="I39" s="61"/>
      <c r="J39" s="125"/>
      <c r="K39" s="120"/>
    </row>
    <row r="40" spans="2:11" ht="21.6" customHeight="1" x14ac:dyDescent="0.3">
      <c r="B40" s="59">
        <v>46</v>
      </c>
      <c r="C40" s="60" t="s">
        <v>54</v>
      </c>
      <c r="D40" s="60">
        <v>23</v>
      </c>
      <c r="E40" s="60">
        <v>8</v>
      </c>
      <c r="F40" s="61">
        <v>31</v>
      </c>
      <c r="G40" s="61">
        <v>2</v>
      </c>
      <c r="H40" s="61" t="s">
        <v>11</v>
      </c>
      <c r="I40" s="61"/>
      <c r="J40" s="125"/>
      <c r="K40" s="120"/>
    </row>
    <row r="41" spans="2:11" ht="21.6" customHeight="1" thickBot="1" x14ac:dyDescent="0.35">
      <c r="B41" s="59">
        <v>47</v>
      </c>
      <c r="C41" s="60" t="s">
        <v>55</v>
      </c>
      <c r="D41" s="60">
        <v>25</v>
      </c>
      <c r="E41" s="60">
        <v>3</v>
      </c>
      <c r="F41" s="61">
        <v>28</v>
      </c>
      <c r="G41" s="61">
        <v>0</v>
      </c>
      <c r="H41" s="61" t="s">
        <v>11</v>
      </c>
      <c r="I41" s="61"/>
      <c r="J41" s="125"/>
      <c r="K41" s="120"/>
    </row>
    <row r="42" spans="2:11" ht="21.6" customHeight="1" x14ac:dyDescent="0.3">
      <c r="B42" s="59">
        <v>48</v>
      </c>
      <c r="C42" s="60" t="s">
        <v>56</v>
      </c>
      <c r="D42" s="60">
        <v>35</v>
      </c>
      <c r="E42" s="60">
        <v>3</v>
      </c>
      <c r="F42" s="61">
        <v>38</v>
      </c>
      <c r="G42" s="61">
        <v>2</v>
      </c>
      <c r="H42" s="61" t="s">
        <v>11</v>
      </c>
      <c r="I42" s="61"/>
      <c r="J42" s="125"/>
      <c r="K42" s="120"/>
    </row>
    <row r="43" spans="2:11" ht="21.6" customHeight="1" x14ac:dyDescent="0.3">
      <c r="B43" s="59">
        <v>49</v>
      </c>
      <c r="C43" s="60" t="s">
        <v>57</v>
      </c>
      <c r="D43" s="60">
        <v>15</v>
      </c>
      <c r="E43" s="60">
        <v>3</v>
      </c>
      <c r="F43" s="61">
        <v>18</v>
      </c>
      <c r="G43" s="61">
        <v>1</v>
      </c>
      <c r="H43" s="61" t="s">
        <v>11</v>
      </c>
      <c r="I43" s="61"/>
      <c r="J43" s="125"/>
      <c r="K43" s="120"/>
    </row>
    <row r="44" spans="2:11" ht="21.6" customHeight="1" x14ac:dyDescent="0.3">
      <c r="B44" s="59">
        <v>50</v>
      </c>
      <c r="C44" s="60" t="s">
        <v>58</v>
      </c>
      <c r="D44" s="60">
        <v>39</v>
      </c>
      <c r="E44" s="60">
        <v>4</v>
      </c>
      <c r="F44" s="61">
        <v>43</v>
      </c>
      <c r="G44" s="61">
        <v>0</v>
      </c>
      <c r="H44" s="61" t="s">
        <v>11</v>
      </c>
      <c r="I44" s="61"/>
      <c r="J44" s="125"/>
      <c r="K44" s="120"/>
    </row>
    <row r="45" spans="2:11" ht="21.6" customHeight="1" x14ac:dyDescent="0.3">
      <c r="B45" s="59">
        <v>51</v>
      </c>
      <c r="C45" s="60" t="s">
        <v>59</v>
      </c>
      <c r="D45" s="60">
        <v>23</v>
      </c>
      <c r="E45" s="60">
        <v>1</v>
      </c>
      <c r="F45" s="61">
        <v>24</v>
      </c>
      <c r="G45" s="61">
        <v>1</v>
      </c>
      <c r="H45" s="61" t="s">
        <v>11</v>
      </c>
      <c r="I45" s="61"/>
      <c r="J45" s="125"/>
      <c r="K45" s="120"/>
    </row>
    <row r="46" spans="2:11" ht="21.6" customHeight="1" x14ac:dyDescent="0.3">
      <c r="B46" s="59">
        <v>52</v>
      </c>
      <c r="C46" s="60" t="s">
        <v>60</v>
      </c>
      <c r="D46" s="60">
        <v>23</v>
      </c>
      <c r="E46" s="60">
        <v>3</v>
      </c>
      <c r="F46" s="61">
        <v>26</v>
      </c>
      <c r="G46" s="61">
        <v>1</v>
      </c>
      <c r="H46" s="61" t="s">
        <v>11</v>
      </c>
      <c r="I46" s="61"/>
      <c r="J46" s="125"/>
      <c r="K46" s="120"/>
    </row>
    <row r="47" spans="2:11" ht="21.6" customHeight="1" x14ac:dyDescent="0.3">
      <c r="B47" s="59">
        <v>53</v>
      </c>
      <c r="C47" s="60" t="s">
        <v>61</v>
      </c>
      <c r="D47" s="60">
        <v>28</v>
      </c>
      <c r="E47" s="60">
        <v>2</v>
      </c>
      <c r="F47" s="61">
        <v>30</v>
      </c>
      <c r="G47" s="61">
        <v>2</v>
      </c>
      <c r="H47" s="61" t="s">
        <v>11</v>
      </c>
      <c r="I47" s="61"/>
      <c r="J47" s="125"/>
      <c r="K47" s="120"/>
    </row>
    <row r="48" spans="2:11" ht="21.6" customHeight="1" thickBot="1" x14ac:dyDescent="0.35">
      <c r="B48" s="59">
        <v>54</v>
      </c>
      <c r="C48" s="60" t="s">
        <v>62</v>
      </c>
      <c r="D48" s="60">
        <v>10</v>
      </c>
      <c r="E48" s="60">
        <v>1</v>
      </c>
      <c r="F48" s="61">
        <v>11</v>
      </c>
      <c r="G48" s="61">
        <v>1</v>
      </c>
      <c r="H48" s="61" t="s">
        <v>11</v>
      </c>
      <c r="I48" s="61"/>
      <c r="J48" s="125"/>
      <c r="K48" s="120"/>
    </row>
    <row r="49" spans="2:11" ht="21" customHeight="1" x14ac:dyDescent="0.3">
      <c r="B49" s="59">
        <v>56</v>
      </c>
      <c r="C49" s="60" t="s">
        <v>63</v>
      </c>
      <c r="D49" s="60">
        <v>21</v>
      </c>
      <c r="E49" s="60">
        <v>0</v>
      </c>
      <c r="F49" s="61">
        <v>21</v>
      </c>
      <c r="G49" s="61">
        <v>1</v>
      </c>
      <c r="H49" s="61" t="s">
        <v>11</v>
      </c>
      <c r="I49" s="61"/>
      <c r="J49" s="125"/>
      <c r="K49" s="120"/>
    </row>
    <row r="50" spans="2:11" ht="21" customHeight="1" x14ac:dyDescent="0.3">
      <c r="B50" s="59">
        <v>57</v>
      </c>
      <c r="C50" s="60" t="s">
        <v>64</v>
      </c>
      <c r="D50" s="60">
        <v>27</v>
      </c>
      <c r="E50" s="60">
        <v>3</v>
      </c>
      <c r="F50" s="61">
        <v>30</v>
      </c>
      <c r="G50" s="61">
        <v>2</v>
      </c>
      <c r="H50" s="61" t="s">
        <v>23</v>
      </c>
      <c r="I50" s="61"/>
      <c r="J50" s="125"/>
      <c r="K50" s="120"/>
    </row>
    <row r="51" spans="2:11" ht="21" customHeight="1" x14ac:dyDescent="0.3">
      <c r="B51" s="59">
        <v>58</v>
      </c>
      <c r="C51" s="60" t="s">
        <v>65</v>
      </c>
      <c r="D51" s="60">
        <v>35</v>
      </c>
      <c r="E51" s="60">
        <v>4</v>
      </c>
      <c r="F51" s="61">
        <v>39</v>
      </c>
      <c r="G51" s="61">
        <v>2</v>
      </c>
      <c r="H51" s="61" t="s">
        <v>23</v>
      </c>
      <c r="I51" s="61"/>
      <c r="J51" s="125"/>
      <c r="K51" s="120"/>
    </row>
    <row r="52" spans="2:11" ht="21" customHeight="1" x14ac:dyDescent="0.3">
      <c r="B52" s="59">
        <v>59</v>
      </c>
      <c r="C52" s="60" t="s">
        <v>66</v>
      </c>
      <c r="D52" s="60">
        <v>35</v>
      </c>
      <c r="E52" s="60">
        <v>2</v>
      </c>
      <c r="F52" s="61">
        <v>37</v>
      </c>
      <c r="G52" s="61">
        <v>0</v>
      </c>
      <c r="H52" s="61" t="s">
        <v>35</v>
      </c>
      <c r="I52" s="61"/>
      <c r="J52" s="125"/>
      <c r="K52" s="120"/>
    </row>
    <row r="53" spans="2:11" ht="21" customHeight="1" thickBot="1" x14ac:dyDescent="0.35">
      <c r="B53" s="59">
        <v>60</v>
      </c>
      <c r="C53" s="60" t="s">
        <v>67</v>
      </c>
      <c r="D53" s="60">
        <v>30</v>
      </c>
      <c r="E53" s="60">
        <v>4</v>
      </c>
      <c r="F53" s="61">
        <v>34</v>
      </c>
      <c r="G53" s="61">
        <v>2</v>
      </c>
      <c r="H53" s="61" t="s">
        <v>23</v>
      </c>
      <c r="I53" s="61"/>
      <c r="J53" s="125"/>
      <c r="K53" s="120"/>
    </row>
    <row r="54" spans="2:11" ht="21" customHeight="1" x14ac:dyDescent="0.3">
      <c r="B54" s="59">
        <v>61</v>
      </c>
      <c r="C54" s="60" t="s">
        <v>68</v>
      </c>
      <c r="D54" s="60">
        <v>26</v>
      </c>
      <c r="E54" s="60">
        <v>4</v>
      </c>
      <c r="F54" s="61">
        <v>30</v>
      </c>
      <c r="G54" s="61">
        <v>1</v>
      </c>
      <c r="H54" s="61" t="s">
        <v>35</v>
      </c>
      <c r="I54" s="61"/>
      <c r="J54" s="125"/>
      <c r="K54" s="120"/>
    </row>
    <row r="55" spans="2:11" ht="21" customHeight="1" x14ac:dyDescent="0.3">
      <c r="B55" s="59">
        <v>62</v>
      </c>
      <c r="C55" s="60" t="s">
        <v>69</v>
      </c>
      <c r="D55" s="60">
        <v>28</v>
      </c>
      <c r="E55" s="60">
        <v>0</v>
      </c>
      <c r="F55" s="61">
        <v>28</v>
      </c>
      <c r="G55" s="61">
        <v>2</v>
      </c>
      <c r="H55" s="61" t="s">
        <v>35</v>
      </c>
      <c r="I55" s="61"/>
      <c r="J55" s="125"/>
      <c r="K55" s="120"/>
    </row>
    <row r="56" spans="2:11" ht="21" customHeight="1" x14ac:dyDescent="0.3">
      <c r="B56" s="59">
        <v>63</v>
      </c>
      <c r="C56" s="60" t="s">
        <v>70</v>
      </c>
      <c r="D56" s="60">
        <v>26</v>
      </c>
      <c r="E56" s="60">
        <v>3</v>
      </c>
      <c r="F56" s="61">
        <v>29</v>
      </c>
      <c r="G56" s="61">
        <v>2</v>
      </c>
      <c r="H56" s="61" t="s">
        <v>35</v>
      </c>
      <c r="I56" s="61"/>
      <c r="J56" s="125"/>
      <c r="K56" s="120"/>
    </row>
    <row r="57" spans="2:11" ht="21" customHeight="1" x14ac:dyDescent="0.3">
      <c r="B57" s="59">
        <v>64</v>
      </c>
      <c r="C57" s="60" t="s">
        <v>71</v>
      </c>
      <c r="D57" s="60">
        <v>22</v>
      </c>
      <c r="E57" s="60">
        <v>1</v>
      </c>
      <c r="F57" s="61">
        <v>23</v>
      </c>
      <c r="G57" s="61">
        <v>1</v>
      </c>
      <c r="H57" s="61" t="s">
        <v>23</v>
      </c>
      <c r="I57" s="61"/>
      <c r="J57" s="125"/>
      <c r="K57" s="120"/>
    </row>
    <row r="58" spans="2:11" ht="21" customHeight="1" x14ac:dyDescent="0.3">
      <c r="B58" s="59">
        <v>65</v>
      </c>
      <c r="C58" s="60" t="s">
        <v>72</v>
      </c>
      <c r="D58" s="60">
        <v>26</v>
      </c>
      <c r="E58" s="60">
        <v>2</v>
      </c>
      <c r="F58" s="61">
        <v>28</v>
      </c>
      <c r="G58" s="61">
        <v>1</v>
      </c>
      <c r="H58" s="61" t="s">
        <v>23</v>
      </c>
      <c r="I58" s="61"/>
      <c r="J58" s="125"/>
      <c r="K58" s="120"/>
    </row>
    <row r="59" spans="2:11" ht="21" customHeight="1" x14ac:dyDescent="0.3">
      <c r="B59" s="59">
        <v>66</v>
      </c>
      <c r="C59" s="60" t="s">
        <v>73</v>
      </c>
      <c r="D59" s="60">
        <v>32</v>
      </c>
      <c r="E59" s="60">
        <v>4</v>
      </c>
      <c r="F59" s="61">
        <v>36</v>
      </c>
      <c r="G59" s="61">
        <v>2</v>
      </c>
      <c r="H59" s="61" t="s">
        <v>23</v>
      </c>
      <c r="I59" s="61"/>
      <c r="J59" s="125"/>
      <c r="K59" s="120"/>
    </row>
    <row r="60" spans="2:11" ht="21" customHeight="1" x14ac:dyDescent="0.3">
      <c r="B60" s="59">
        <v>67</v>
      </c>
      <c r="C60" s="60" t="s">
        <v>74</v>
      </c>
      <c r="D60" s="60">
        <v>19</v>
      </c>
      <c r="E60" s="60">
        <v>3</v>
      </c>
      <c r="F60" s="61">
        <v>22</v>
      </c>
      <c r="G60" s="61">
        <v>0</v>
      </c>
      <c r="H60" s="61" t="s">
        <v>23</v>
      </c>
      <c r="I60" s="61"/>
      <c r="J60" s="125"/>
      <c r="K60" s="120"/>
    </row>
    <row r="61" spans="2:11" ht="21" customHeight="1" thickBot="1" x14ac:dyDescent="0.35">
      <c r="B61" s="59">
        <v>68</v>
      </c>
      <c r="C61" s="60" t="s">
        <v>75</v>
      </c>
      <c r="D61" s="60">
        <v>26</v>
      </c>
      <c r="E61" s="60">
        <v>4</v>
      </c>
      <c r="F61" s="61">
        <v>30</v>
      </c>
      <c r="G61" s="61">
        <v>0</v>
      </c>
      <c r="H61" s="61" t="s">
        <v>13</v>
      </c>
      <c r="I61" s="61"/>
      <c r="J61" s="125"/>
      <c r="K61" s="120"/>
    </row>
    <row r="62" spans="2:11" ht="21" customHeight="1" x14ac:dyDescent="0.3">
      <c r="B62" s="59">
        <v>69</v>
      </c>
      <c r="C62" s="60" t="s">
        <v>76</v>
      </c>
      <c r="D62" s="60">
        <v>27</v>
      </c>
      <c r="E62" s="60">
        <v>1</v>
      </c>
      <c r="F62" s="61">
        <v>28</v>
      </c>
      <c r="G62" s="61">
        <v>2</v>
      </c>
      <c r="H62" s="61" t="s">
        <v>35</v>
      </c>
      <c r="I62" s="61"/>
      <c r="J62" s="125"/>
      <c r="K62" s="120"/>
    </row>
    <row r="63" spans="2:11" ht="21" customHeight="1" x14ac:dyDescent="0.3">
      <c r="B63" s="59">
        <v>82</v>
      </c>
      <c r="C63" s="60" t="s">
        <v>77</v>
      </c>
      <c r="D63" s="60">
        <v>26</v>
      </c>
      <c r="E63" s="60">
        <v>3</v>
      </c>
      <c r="F63" s="61">
        <v>29</v>
      </c>
      <c r="G63" s="61">
        <v>0</v>
      </c>
      <c r="H63" s="61" t="s">
        <v>11</v>
      </c>
      <c r="I63" s="61"/>
      <c r="J63" s="126"/>
      <c r="K63" s="121"/>
    </row>
    <row r="64" spans="2:11" ht="21" customHeight="1" x14ac:dyDescent="0.3">
      <c r="B64" s="64">
        <v>19</v>
      </c>
      <c r="C64" s="65" t="s">
        <v>78</v>
      </c>
      <c r="D64" s="65">
        <v>33</v>
      </c>
      <c r="E64" s="65">
        <v>0</v>
      </c>
      <c r="F64" s="66">
        <v>33</v>
      </c>
      <c r="G64" s="66">
        <v>0</v>
      </c>
      <c r="H64" s="66" t="s">
        <v>11</v>
      </c>
      <c r="I64" s="66"/>
      <c r="J64" s="113" t="s">
        <v>79</v>
      </c>
      <c r="K64" s="116">
        <f>SUM(F64:F91)+SUM(G64:G91)</f>
        <v>894</v>
      </c>
    </row>
    <row r="65" spans="2:11" ht="21" customHeight="1" x14ac:dyDescent="0.3">
      <c r="B65" s="64">
        <v>55</v>
      </c>
      <c r="C65" s="65" t="s">
        <v>80</v>
      </c>
      <c r="D65" s="65">
        <v>26</v>
      </c>
      <c r="E65" s="65">
        <v>3</v>
      </c>
      <c r="F65" s="66">
        <v>29</v>
      </c>
      <c r="G65" s="66">
        <v>2</v>
      </c>
      <c r="H65" s="66" t="s">
        <v>13</v>
      </c>
      <c r="I65" s="66"/>
      <c r="J65" s="114"/>
      <c r="K65" s="117"/>
    </row>
    <row r="66" spans="2:11" ht="21" customHeight="1" x14ac:dyDescent="0.3">
      <c r="B66" s="64">
        <v>70</v>
      </c>
      <c r="C66" s="65" t="s">
        <v>81</v>
      </c>
      <c r="D66" s="65">
        <v>27</v>
      </c>
      <c r="E66" s="65">
        <v>3</v>
      </c>
      <c r="F66" s="66">
        <v>30</v>
      </c>
      <c r="G66" s="66">
        <v>2</v>
      </c>
      <c r="H66" s="66" t="s">
        <v>11</v>
      </c>
      <c r="I66" s="66"/>
      <c r="J66" s="114"/>
      <c r="K66" s="117"/>
    </row>
    <row r="67" spans="2:11" ht="21" customHeight="1" x14ac:dyDescent="0.3">
      <c r="B67" s="64">
        <v>71</v>
      </c>
      <c r="C67" s="65" t="s">
        <v>82</v>
      </c>
      <c r="D67" s="65">
        <v>26</v>
      </c>
      <c r="E67" s="65">
        <v>8</v>
      </c>
      <c r="F67" s="66">
        <v>34</v>
      </c>
      <c r="G67" s="66">
        <v>1</v>
      </c>
      <c r="H67" s="66" t="s">
        <v>11</v>
      </c>
      <c r="I67" s="66"/>
      <c r="J67" s="114"/>
      <c r="K67" s="117"/>
    </row>
    <row r="68" spans="2:11" ht="21" customHeight="1" x14ac:dyDescent="0.3">
      <c r="B68" s="64">
        <v>72</v>
      </c>
      <c r="C68" s="65" t="s">
        <v>83</v>
      </c>
      <c r="D68" s="65">
        <v>15</v>
      </c>
      <c r="E68" s="65">
        <v>1</v>
      </c>
      <c r="F68" s="66">
        <v>16</v>
      </c>
      <c r="G68" s="66">
        <v>1</v>
      </c>
      <c r="H68" s="66" t="s">
        <v>13</v>
      </c>
      <c r="I68" s="66"/>
      <c r="J68" s="114"/>
      <c r="K68" s="117"/>
    </row>
    <row r="69" spans="2:11" ht="21" customHeight="1" x14ac:dyDescent="0.3">
      <c r="B69" s="64">
        <v>73</v>
      </c>
      <c r="C69" s="65" t="s">
        <v>84</v>
      </c>
      <c r="D69" s="65">
        <v>36</v>
      </c>
      <c r="E69" s="65">
        <v>0</v>
      </c>
      <c r="F69" s="66">
        <v>36</v>
      </c>
      <c r="G69" s="66">
        <v>2</v>
      </c>
      <c r="H69" s="66" t="s">
        <v>11</v>
      </c>
      <c r="I69" s="66"/>
      <c r="J69" s="114"/>
      <c r="K69" s="117"/>
    </row>
    <row r="70" spans="2:11" ht="21" customHeight="1" thickBot="1" x14ac:dyDescent="0.35">
      <c r="B70" s="64">
        <v>74</v>
      </c>
      <c r="C70" s="65" t="s">
        <v>85</v>
      </c>
      <c r="D70" s="65">
        <v>19</v>
      </c>
      <c r="E70" s="65">
        <v>3</v>
      </c>
      <c r="F70" s="66">
        <v>22</v>
      </c>
      <c r="G70" s="66">
        <v>0</v>
      </c>
      <c r="H70" s="66" t="s">
        <v>11</v>
      </c>
      <c r="I70" s="66"/>
      <c r="J70" s="114"/>
      <c r="K70" s="117"/>
    </row>
    <row r="71" spans="2:11" ht="22.95" customHeight="1" thickBot="1" x14ac:dyDescent="0.35">
      <c r="B71" s="64">
        <v>75</v>
      </c>
      <c r="C71" s="65" t="s">
        <v>86</v>
      </c>
      <c r="D71" s="65">
        <v>37</v>
      </c>
      <c r="E71" s="65">
        <v>9</v>
      </c>
      <c r="F71" s="66">
        <v>46</v>
      </c>
      <c r="G71" s="66">
        <v>0</v>
      </c>
      <c r="H71" s="66" t="s">
        <v>11</v>
      </c>
      <c r="I71" s="66"/>
      <c r="J71" s="114"/>
      <c r="K71" s="117"/>
    </row>
    <row r="72" spans="2:11" ht="19.2" customHeight="1" x14ac:dyDescent="0.3">
      <c r="B72" s="64">
        <v>76</v>
      </c>
      <c r="C72" s="65" t="s">
        <v>87</v>
      </c>
      <c r="D72" s="65">
        <v>30</v>
      </c>
      <c r="E72" s="65">
        <v>6</v>
      </c>
      <c r="F72" s="66">
        <v>36</v>
      </c>
      <c r="G72" s="66">
        <v>2</v>
      </c>
      <c r="H72" s="66" t="s">
        <v>11</v>
      </c>
      <c r="I72" s="66"/>
      <c r="J72" s="114"/>
      <c r="K72" s="117"/>
    </row>
    <row r="73" spans="2:11" ht="19.2" customHeight="1" x14ac:dyDescent="0.3">
      <c r="B73" s="64">
        <v>77</v>
      </c>
      <c r="C73" s="65" t="s">
        <v>88</v>
      </c>
      <c r="D73" s="65">
        <v>26</v>
      </c>
      <c r="E73" s="65">
        <v>10</v>
      </c>
      <c r="F73" s="66">
        <v>36</v>
      </c>
      <c r="G73" s="66">
        <v>2</v>
      </c>
      <c r="H73" s="66" t="s">
        <v>11</v>
      </c>
      <c r="I73" s="66"/>
      <c r="J73" s="114"/>
      <c r="K73" s="117"/>
    </row>
    <row r="74" spans="2:11" ht="26.4" x14ac:dyDescent="0.3">
      <c r="B74" s="64">
        <v>78</v>
      </c>
      <c r="C74" s="65" t="s">
        <v>89</v>
      </c>
      <c r="D74" s="65">
        <v>37</v>
      </c>
      <c r="E74" s="65">
        <v>7</v>
      </c>
      <c r="F74" s="66">
        <v>44</v>
      </c>
      <c r="G74" s="66">
        <v>0</v>
      </c>
      <c r="H74" s="66" t="s">
        <v>11</v>
      </c>
      <c r="I74" s="66"/>
      <c r="J74" s="114"/>
      <c r="K74" s="117"/>
    </row>
    <row r="75" spans="2:11" ht="26.4" x14ac:dyDescent="0.3">
      <c r="B75" s="64">
        <v>79</v>
      </c>
      <c r="C75" s="65" t="s">
        <v>90</v>
      </c>
      <c r="D75" s="65">
        <v>36</v>
      </c>
      <c r="E75" s="65">
        <v>6</v>
      </c>
      <c r="F75" s="66">
        <v>42</v>
      </c>
      <c r="G75" s="66">
        <v>3</v>
      </c>
      <c r="H75" s="66" t="s">
        <v>11</v>
      </c>
      <c r="I75" s="66"/>
      <c r="J75" s="114"/>
      <c r="K75" s="117"/>
    </row>
    <row r="76" spans="2:11" ht="26.4" x14ac:dyDescent="0.3">
      <c r="B76" s="64">
        <v>80</v>
      </c>
      <c r="C76" s="65" t="s">
        <v>91</v>
      </c>
      <c r="D76" s="65">
        <v>32</v>
      </c>
      <c r="E76" s="65">
        <v>0</v>
      </c>
      <c r="F76" s="66">
        <v>32</v>
      </c>
      <c r="G76" s="66">
        <v>2</v>
      </c>
      <c r="H76" s="66" t="s">
        <v>11</v>
      </c>
      <c r="I76" s="66"/>
      <c r="J76" s="114"/>
      <c r="K76" s="117"/>
    </row>
    <row r="77" spans="2:11" ht="26.4" x14ac:dyDescent="0.3">
      <c r="B77" s="64">
        <v>81</v>
      </c>
      <c r="C77" s="65" t="s">
        <v>92</v>
      </c>
      <c r="D77" s="65">
        <v>29</v>
      </c>
      <c r="E77" s="65">
        <v>2</v>
      </c>
      <c r="F77" s="66">
        <v>31</v>
      </c>
      <c r="G77" s="66">
        <v>2</v>
      </c>
      <c r="H77" s="66" t="s">
        <v>11</v>
      </c>
      <c r="I77" s="66"/>
      <c r="J77" s="114"/>
      <c r="K77" s="117"/>
    </row>
    <row r="78" spans="2:11" ht="26.4" x14ac:dyDescent="0.3">
      <c r="B78" s="64">
        <v>83</v>
      </c>
      <c r="C78" s="65" t="s">
        <v>93</v>
      </c>
      <c r="D78" s="65">
        <v>25</v>
      </c>
      <c r="E78" s="65">
        <v>6</v>
      </c>
      <c r="F78" s="66">
        <v>31</v>
      </c>
      <c r="G78" s="66">
        <v>2</v>
      </c>
      <c r="H78" s="66" t="s">
        <v>11</v>
      </c>
      <c r="I78" s="66"/>
      <c r="J78" s="114"/>
      <c r="K78" s="117"/>
    </row>
    <row r="79" spans="2:11" ht="26.4" x14ac:dyDescent="0.3">
      <c r="B79" s="64">
        <v>84</v>
      </c>
      <c r="C79" s="65" t="s">
        <v>94</v>
      </c>
      <c r="D79" s="65">
        <v>21</v>
      </c>
      <c r="E79" s="65">
        <v>8</v>
      </c>
      <c r="F79" s="66">
        <v>29</v>
      </c>
      <c r="G79" s="66">
        <v>1</v>
      </c>
      <c r="H79" s="66" t="s">
        <v>23</v>
      </c>
      <c r="I79" s="66"/>
      <c r="J79" s="114"/>
      <c r="K79" s="117"/>
    </row>
    <row r="80" spans="2:11" ht="26.4" x14ac:dyDescent="0.3">
      <c r="B80" s="64">
        <v>85</v>
      </c>
      <c r="C80" s="65" t="s">
        <v>95</v>
      </c>
      <c r="D80" s="65">
        <v>27</v>
      </c>
      <c r="E80" s="65">
        <v>2</v>
      </c>
      <c r="F80" s="66">
        <v>29</v>
      </c>
      <c r="G80" s="66">
        <v>1</v>
      </c>
      <c r="H80" s="66" t="s">
        <v>23</v>
      </c>
      <c r="I80" s="66"/>
      <c r="J80" s="114"/>
      <c r="K80" s="117"/>
    </row>
    <row r="81" spans="2:11" x14ac:dyDescent="0.3">
      <c r="B81" s="64">
        <v>86</v>
      </c>
      <c r="C81" s="65" t="s">
        <v>96</v>
      </c>
      <c r="D81" s="65">
        <v>20</v>
      </c>
      <c r="E81" s="65">
        <v>1</v>
      </c>
      <c r="F81" s="66">
        <v>21</v>
      </c>
      <c r="G81" s="66">
        <v>1</v>
      </c>
      <c r="H81" s="66" t="s">
        <v>23</v>
      </c>
      <c r="I81" s="66"/>
      <c r="J81" s="114"/>
      <c r="K81" s="117"/>
    </row>
    <row r="82" spans="2:11" ht="26.4" x14ac:dyDescent="0.3">
      <c r="B82" s="64">
        <v>87</v>
      </c>
      <c r="C82" s="65" t="s">
        <v>97</v>
      </c>
      <c r="D82" s="65">
        <v>65</v>
      </c>
      <c r="E82" s="65">
        <v>5</v>
      </c>
      <c r="F82" s="66">
        <v>70</v>
      </c>
      <c r="G82" s="66">
        <v>3</v>
      </c>
      <c r="H82" s="66" t="s">
        <v>35</v>
      </c>
      <c r="I82" s="66"/>
      <c r="J82" s="114"/>
      <c r="K82" s="117"/>
    </row>
    <row r="83" spans="2:11" x14ac:dyDescent="0.3">
      <c r="B83" s="64">
        <v>88</v>
      </c>
      <c r="C83" s="65" t="s">
        <v>98</v>
      </c>
      <c r="D83" s="65">
        <v>21</v>
      </c>
      <c r="E83" s="65">
        <v>2</v>
      </c>
      <c r="F83" s="66">
        <v>23</v>
      </c>
      <c r="G83" s="66">
        <v>1</v>
      </c>
      <c r="H83" s="66" t="s">
        <v>23</v>
      </c>
      <c r="I83" s="66"/>
      <c r="J83" s="114"/>
      <c r="K83" s="117"/>
    </row>
    <row r="84" spans="2:11" ht="26.4" x14ac:dyDescent="0.3">
      <c r="B84" s="64">
        <v>89</v>
      </c>
      <c r="C84" s="65" t="s">
        <v>99</v>
      </c>
      <c r="D84" s="65">
        <v>16</v>
      </c>
      <c r="E84" s="65">
        <v>1</v>
      </c>
      <c r="F84" s="66">
        <v>17</v>
      </c>
      <c r="G84" s="66">
        <v>0</v>
      </c>
      <c r="H84" s="66" t="s">
        <v>23</v>
      </c>
      <c r="I84" s="66"/>
      <c r="J84" s="114"/>
      <c r="K84" s="117"/>
    </row>
    <row r="85" spans="2:11" x14ac:dyDescent="0.3">
      <c r="B85" s="64">
        <v>90</v>
      </c>
      <c r="C85" s="65" t="s">
        <v>100</v>
      </c>
      <c r="D85" s="65">
        <v>33</v>
      </c>
      <c r="E85" s="65">
        <v>3</v>
      </c>
      <c r="F85" s="66">
        <v>36</v>
      </c>
      <c r="G85" s="66">
        <v>0</v>
      </c>
      <c r="H85" s="66" t="s">
        <v>23</v>
      </c>
      <c r="I85" s="66"/>
      <c r="J85" s="114"/>
      <c r="K85" s="117"/>
    </row>
    <row r="86" spans="2:11" ht="26.4" x14ac:dyDescent="0.3">
      <c r="B86" s="64">
        <v>91</v>
      </c>
      <c r="C86" s="65" t="s">
        <v>101</v>
      </c>
      <c r="D86" s="65">
        <v>28</v>
      </c>
      <c r="E86" s="65">
        <v>3</v>
      </c>
      <c r="F86" s="66">
        <v>31</v>
      </c>
      <c r="G86" s="66">
        <v>0</v>
      </c>
      <c r="H86" s="66" t="s">
        <v>23</v>
      </c>
      <c r="I86" s="66"/>
      <c r="J86" s="114"/>
      <c r="K86" s="117"/>
    </row>
    <row r="87" spans="2:11" x14ac:dyDescent="0.3">
      <c r="B87" s="64">
        <v>92</v>
      </c>
      <c r="C87" s="65" t="s">
        <v>102</v>
      </c>
      <c r="D87" s="65">
        <v>12</v>
      </c>
      <c r="E87" s="65">
        <v>2</v>
      </c>
      <c r="F87" s="66">
        <v>14</v>
      </c>
      <c r="G87" s="66">
        <v>1</v>
      </c>
      <c r="H87" s="66" t="s">
        <v>35</v>
      </c>
      <c r="I87" s="66"/>
      <c r="J87" s="114"/>
      <c r="K87" s="117"/>
    </row>
    <row r="88" spans="2:11" x14ac:dyDescent="0.3">
      <c r="B88" s="64">
        <v>93</v>
      </c>
      <c r="C88" s="65" t="s">
        <v>103</v>
      </c>
      <c r="D88" s="65">
        <v>21</v>
      </c>
      <c r="E88" s="65">
        <v>3</v>
      </c>
      <c r="F88" s="66">
        <v>24</v>
      </c>
      <c r="G88" s="66">
        <v>1</v>
      </c>
      <c r="H88" s="66" t="s">
        <v>35</v>
      </c>
      <c r="I88" s="66"/>
      <c r="J88" s="114"/>
      <c r="K88" s="117"/>
    </row>
    <row r="89" spans="2:11" x14ac:dyDescent="0.3">
      <c r="B89" s="64">
        <v>94</v>
      </c>
      <c r="C89" s="65" t="s">
        <v>104</v>
      </c>
      <c r="D89" s="65">
        <v>3</v>
      </c>
      <c r="E89" s="65"/>
      <c r="F89" s="66">
        <v>3</v>
      </c>
      <c r="G89" s="66">
        <v>1</v>
      </c>
      <c r="H89" s="66" t="s">
        <v>105</v>
      </c>
      <c r="I89" s="66"/>
      <c r="J89" s="114"/>
      <c r="K89" s="117"/>
    </row>
    <row r="90" spans="2:11" ht="26.4" x14ac:dyDescent="0.3">
      <c r="B90" s="64">
        <v>95</v>
      </c>
      <c r="C90" s="65" t="s">
        <v>106</v>
      </c>
      <c r="D90" s="65">
        <v>28</v>
      </c>
      <c r="E90" s="65">
        <v>0</v>
      </c>
      <c r="F90" s="66">
        <v>28</v>
      </c>
      <c r="G90" s="66">
        <v>2</v>
      </c>
      <c r="H90" s="66" t="s">
        <v>11</v>
      </c>
      <c r="I90" s="66"/>
      <c r="J90" s="114"/>
      <c r="K90" s="117"/>
    </row>
    <row r="91" spans="2:11" ht="26.4" x14ac:dyDescent="0.3">
      <c r="B91" s="64">
        <v>96</v>
      </c>
      <c r="C91" s="65" t="s">
        <v>107</v>
      </c>
      <c r="D91" s="65">
        <v>36</v>
      </c>
      <c r="E91" s="65">
        <v>0</v>
      </c>
      <c r="F91" s="66">
        <v>36</v>
      </c>
      <c r="G91" s="66">
        <v>2</v>
      </c>
      <c r="H91" s="66" t="s">
        <v>11</v>
      </c>
      <c r="I91" s="66"/>
      <c r="J91" s="115"/>
      <c r="K91" s="118"/>
    </row>
    <row r="92" spans="2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2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2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2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2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0">
    <mergeCell ref="B1:K1"/>
    <mergeCell ref="J29:J30"/>
    <mergeCell ref="K29:K30"/>
    <mergeCell ref="K5:K28"/>
    <mergeCell ref="J64:J91"/>
    <mergeCell ref="K64:K91"/>
    <mergeCell ref="K31:K63"/>
    <mergeCell ref="B2:C2"/>
    <mergeCell ref="J31:J63"/>
    <mergeCell ref="J5:J28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860"/>
  <sheetViews>
    <sheetView tabSelected="1"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30" t="s">
        <v>291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2:11" s="3" customFormat="1" ht="24.6" customHeight="1" thickBot="1" x14ac:dyDescent="0.35">
      <c r="B2" s="122" t="s">
        <v>1</v>
      </c>
      <c r="C2" s="123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63</v>
      </c>
      <c r="G3" s="41">
        <v>3</v>
      </c>
      <c r="H3" s="41" t="s">
        <v>11</v>
      </c>
      <c r="I3" s="41"/>
      <c r="J3" s="42">
        <v>46283</v>
      </c>
      <c r="K3" s="43">
        <f>F3+G3</f>
        <v>66</v>
      </c>
    </row>
    <row r="4" spans="2:11" ht="19.95" customHeight="1" x14ac:dyDescent="0.3">
      <c r="B4" s="44">
        <v>2</v>
      </c>
      <c r="C4" s="45" t="s">
        <v>292</v>
      </c>
      <c r="D4" s="45">
        <v>19</v>
      </c>
      <c r="E4" s="45">
        <v>4</v>
      </c>
      <c r="F4" s="46">
        <v>23</v>
      </c>
      <c r="G4" s="46">
        <v>2</v>
      </c>
      <c r="H4" s="46" t="s">
        <v>23</v>
      </c>
      <c r="I4" s="46"/>
      <c r="J4" s="197">
        <v>46351</v>
      </c>
      <c r="K4" s="199">
        <f>SUM(F4:F10)+SUM(G4:G10)</f>
        <v>349</v>
      </c>
    </row>
    <row r="5" spans="2:11" ht="19.95" customHeight="1" x14ac:dyDescent="0.3">
      <c r="B5" s="44">
        <v>3</v>
      </c>
      <c r="C5" s="45" t="s">
        <v>293</v>
      </c>
      <c r="D5" s="45">
        <v>16</v>
      </c>
      <c r="E5" s="45">
        <v>4</v>
      </c>
      <c r="F5" s="46">
        <v>20</v>
      </c>
      <c r="G5" s="46">
        <v>1</v>
      </c>
      <c r="H5" s="46" t="s">
        <v>11</v>
      </c>
      <c r="I5" s="46"/>
      <c r="J5" s="167"/>
      <c r="K5" s="200"/>
    </row>
    <row r="6" spans="2:11" ht="19.95" customHeight="1" x14ac:dyDescent="0.3">
      <c r="B6" s="44">
        <v>4</v>
      </c>
      <c r="C6" s="45" t="s">
        <v>294</v>
      </c>
      <c r="D6" s="45">
        <v>29</v>
      </c>
      <c r="E6" s="45">
        <v>4</v>
      </c>
      <c r="F6" s="46">
        <v>33</v>
      </c>
      <c r="G6" s="46">
        <v>2</v>
      </c>
      <c r="H6" s="46" t="s">
        <v>11</v>
      </c>
      <c r="I6" s="46"/>
      <c r="J6" s="167"/>
      <c r="K6" s="200"/>
    </row>
    <row r="7" spans="2:11" ht="19.95" customHeight="1" x14ac:dyDescent="0.3">
      <c r="B7" s="44">
        <v>5</v>
      </c>
      <c r="C7" s="45" t="s">
        <v>295</v>
      </c>
      <c r="D7" s="45">
        <v>30</v>
      </c>
      <c r="E7" s="45">
        <v>4</v>
      </c>
      <c r="F7" s="46">
        <v>34</v>
      </c>
      <c r="G7" s="46">
        <v>2</v>
      </c>
      <c r="H7" s="46" t="s">
        <v>11</v>
      </c>
      <c r="I7" s="46"/>
      <c r="J7" s="167"/>
      <c r="K7" s="200"/>
    </row>
    <row r="8" spans="2:11" ht="19.95" customHeight="1" x14ac:dyDescent="0.3">
      <c r="B8" s="44">
        <v>6</v>
      </c>
      <c r="C8" s="45" t="s">
        <v>296</v>
      </c>
      <c r="D8" s="45">
        <v>126</v>
      </c>
      <c r="E8" s="45">
        <v>17</v>
      </c>
      <c r="F8" s="46">
        <v>143</v>
      </c>
      <c r="G8" s="46">
        <v>7</v>
      </c>
      <c r="H8" s="46" t="s">
        <v>11</v>
      </c>
      <c r="I8" s="46"/>
      <c r="J8" s="167"/>
      <c r="K8" s="200"/>
    </row>
    <row r="9" spans="2:11" ht="19.95" customHeight="1" thickBot="1" x14ac:dyDescent="0.35">
      <c r="B9" s="44">
        <v>7</v>
      </c>
      <c r="C9" s="45" t="s">
        <v>297</v>
      </c>
      <c r="D9" s="45">
        <v>39</v>
      </c>
      <c r="E9" s="45">
        <v>0</v>
      </c>
      <c r="F9" s="46">
        <v>39</v>
      </c>
      <c r="G9" s="46">
        <v>3</v>
      </c>
      <c r="H9" s="46" t="s">
        <v>11</v>
      </c>
      <c r="I9" s="46"/>
      <c r="J9" s="167"/>
      <c r="K9" s="200"/>
    </row>
    <row r="10" spans="2:11" ht="19.95" customHeight="1" x14ac:dyDescent="0.3">
      <c r="B10" s="44">
        <v>8</v>
      </c>
      <c r="C10" s="45" t="s">
        <v>298</v>
      </c>
      <c r="D10" s="45">
        <v>35</v>
      </c>
      <c r="E10" s="45">
        <v>3</v>
      </c>
      <c r="F10" s="46">
        <v>38</v>
      </c>
      <c r="G10" s="46">
        <v>2</v>
      </c>
      <c r="H10" s="46" t="s">
        <v>11</v>
      </c>
      <c r="I10" s="46"/>
      <c r="J10" s="198"/>
      <c r="K10" s="201"/>
    </row>
    <row r="11" spans="2:11" ht="19.95" customHeight="1" x14ac:dyDescent="0.3">
      <c r="B11" s="49">
        <v>9</v>
      </c>
      <c r="C11" s="50" t="s">
        <v>14</v>
      </c>
      <c r="D11" s="50">
        <v>30</v>
      </c>
      <c r="E11" s="50">
        <v>3</v>
      </c>
      <c r="F11" s="51">
        <v>33</v>
      </c>
      <c r="G11" s="51">
        <v>2</v>
      </c>
      <c r="H11" s="51" t="s">
        <v>11</v>
      </c>
      <c r="I11" s="51"/>
      <c r="J11" s="127" t="s">
        <v>299</v>
      </c>
      <c r="K11" s="137">
        <f>SUM(F11:F34)+SUM(G11:G34)</f>
        <v>777</v>
      </c>
    </row>
    <row r="12" spans="2:11" ht="19.95" customHeight="1" x14ac:dyDescent="0.3">
      <c r="B12" s="49">
        <v>10</v>
      </c>
      <c r="C12" s="50" t="s">
        <v>16</v>
      </c>
      <c r="D12" s="50">
        <v>24</v>
      </c>
      <c r="E12" s="50">
        <v>2</v>
      </c>
      <c r="F12" s="51">
        <v>26</v>
      </c>
      <c r="G12" s="51">
        <v>2</v>
      </c>
      <c r="H12" s="51" t="s">
        <v>11</v>
      </c>
      <c r="I12" s="51"/>
      <c r="J12" s="128"/>
      <c r="K12" s="138"/>
    </row>
    <row r="13" spans="2:11" ht="19.95" customHeight="1" x14ac:dyDescent="0.3">
      <c r="B13" s="49">
        <v>11</v>
      </c>
      <c r="C13" s="50" t="s">
        <v>17</v>
      </c>
      <c r="D13" s="50">
        <v>20</v>
      </c>
      <c r="E13" s="50">
        <v>2</v>
      </c>
      <c r="F13" s="51">
        <v>22</v>
      </c>
      <c r="G13" s="51">
        <v>1</v>
      </c>
      <c r="H13" s="51" t="s">
        <v>11</v>
      </c>
      <c r="I13" s="51"/>
      <c r="J13" s="128"/>
      <c r="K13" s="138"/>
    </row>
    <row r="14" spans="2:11" ht="19.95" customHeight="1" x14ac:dyDescent="0.3">
      <c r="B14" s="49">
        <v>12</v>
      </c>
      <c r="C14" s="50" t="s">
        <v>18</v>
      </c>
      <c r="D14" s="50">
        <v>27</v>
      </c>
      <c r="E14" s="50">
        <v>0</v>
      </c>
      <c r="F14" s="51">
        <v>27</v>
      </c>
      <c r="G14" s="51">
        <v>1</v>
      </c>
      <c r="H14" s="51" t="s">
        <v>11</v>
      </c>
      <c r="I14" s="51"/>
      <c r="J14" s="128"/>
      <c r="K14" s="138"/>
    </row>
    <row r="15" spans="2:11" ht="19.95" customHeight="1" thickBot="1" x14ac:dyDescent="0.35">
      <c r="B15" s="49">
        <v>13</v>
      </c>
      <c r="C15" s="50" t="s">
        <v>19</v>
      </c>
      <c r="D15" s="50">
        <v>79</v>
      </c>
      <c r="E15" s="50">
        <v>0</v>
      </c>
      <c r="F15" s="51">
        <v>79</v>
      </c>
      <c r="G15" s="51">
        <v>4</v>
      </c>
      <c r="H15" s="51" t="s">
        <v>11</v>
      </c>
      <c r="I15" s="51"/>
      <c r="J15" s="128"/>
      <c r="K15" s="138"/>
    </row>
    <row r="16" spans="2:11" ht="19.95" customHeight="1" x14ac:dyDescent="0.3">
      <c r="B16" s="49">
        <v>14</v>
      </c>
      <c r="C16" s="50" t="s">
        <v>20</v>
      </c>
      <c r="D16" s="50">
        <v>24</v>
      </c>
      <c r="E16" s="50">
        <v>4</v>
      </c>
      <c r="F16" s="51">
        <v>28</v>
      </c>
      <c r="G16" s="51">
        <v>0</v>
      </c>
      <c r="H16" s="51" t="s">
        <v>11</v>
      </c>
      <c r="I16" s="51"/>
      <c r="J16" s="128"/>
      <c r="K16" s="138"/>
    </row>
    <row r="17" spans="2:11" ht="19.95" customHeight="1" x14ac:dyDescent="0.3">
      <c r="B17" s="49">
        <v>15</v>
      </c>
      <c r="C17" s="50" t="s">
        <v>21</v>
      </c>
      <c r="D17" s="50">
        <v>35</v>
      </c>
      <c r="E17" s="50">
        <v>7</v>
      </c>
      <c r="F17" s="51">
        <v>42</v>
      </c>
      <c r="G17" s="51">
        <v>3</v>
      </c>
      <c r="H17" s="51" t="s">
        <v>11</v>
      </c>
      <c r="I17" s="51"/>
      <c r="J17" s="128"/>
      <c r="K17" s="138"/>
    </row>
    <row r="18" spans="2:11" ht="19.95" customHeight="1" x14ac:dyDescent="0.3">
      <c r="B18" s="49">
        <v>16</v>
      </c>
      <c r="C18" s="50" t="s">
        <v>22</v>
      </c>
      <c r="D18" s="50">
        <v>24</v>
      </c>
      <c r="E18" s="50">
        <v>2</v>
      </c>
      <c r="F18" s="51">
        <v>26</v>
      </c>
      <c r="G18" s="51">
        <v>0</v>
      </c>
      <c r="H18" s="51" t="s">
        <v>23</v>
      </c>
      <c r="I18" s="51"/>
      <c r="J18" s="128"/>
      <c r="K18" s="138"/>
    </row>
    <row r="19" spans="2:11" ht="19.95" customHeight="1" x14ac:dyDescent="0.3">
      <c r="B19" s="49">
        <v>17</v>
      </c>
      <c r="C19" s="50" t="s">
        <v>24</v>
      </c>
      <c r="D19" s="50">
        <v>31</v>
      </c>
      <c r="E19" s="50">
        <v>7</v>
      </c>
      <c r="F19" s="51">
        <v>38</v>
      </c>
      <c r="G19" s="51">
        <v>0</v>
      </c>
      <c r="H19" s="51" t="s">
        <v>11</v>
      </c>
      <c r="I19" s="51"/>
      <c r="J19" s="128"/>
      <c r="K19" s="138"/>
    </row>
    <row r="20" spans="2:11" ht="19.95" customHeight="1" x14ac:dyDescent="0.3">
      <c r="B20" s="49">
        <v>18</v>
      </c>
      <c r="C20" s="50" t="s">
        <v>25</v>
      </c>
      <c r="D20" s="50">
        <v>29</v>
      </c>
      <c r="E20" s="50">
        <v>3</v>
      </c>
      <c r="F20" s="51">
        <v>32</v>
      </c>
      <c r="G20" s="51">
        <v>1</v>
      </c>
      <c r="H20" s="51" t="s">
        <v>11</v>
      </c>
      <c r="I20" s="51"/>
      <c r="J20" s="128"/>
      <c r="K20" s="138"/>
    </row>
    <row r="21" spans="2:11" ht="19.95" customHeight="1" x14ac:dyDescent="0.3">
      <c r="B21" s="49">
        <v>20</v>
      </c>
      <c r="C21" s="50" t="s">
        <v>26</v>
      </c>
      <c r="D21" s="50">
        <v>20</v>
      </c>
      <c r="E21" s="50">
        <v>0</v>
      </c>
      <c r="F21" s="51">
        <v>20</v>
      </c>
      <c r="G21" s="51">
        <v>1</v>
      </c>
      <c r="H21" s="51" t="s">
        <v>11</v>
      </c>
      <c r="I21" s="51"/>
      <c r="J21" s="128"/>
      <c r="K21" s="138"/>
    </row>
    <row r="22" spans="2:11" ht="19.95" customHeight="1" thickBot="1" x14ac:dyDescent="0.35">
      <c r="B22" s="49">
        <v>21</v>
      </c>
      <c r="C22" s="50" t="s">
        <v>27</v>
      </c>
      <c r="D22" s="50">
        <v>25</v>
      </c>
      <c r="E22" s="50">
        <v>0</v>
      </c>
      <c r="F22" s="51">
        <v>25</v>
      </c>
      <c r="G22" s="51">
        <v>2</v>
      </c>
      <c r="H22" s="51" t="s">
        <v>11</v>
      </c>
      <c r="I22" s="51"/>
      <c r="J22" s="128"/>
      <c r="K22" s="138"/>
    </row>
    <row r="23" spans="2:11" ht="21.6" customHeight="1" x14ac:dyDescent="0.3">
      <c r="B23" s="49">
        <v>22</v>
      </c>
      <c r="C23" s="50" t="s">
        <v>28</v>
      </c>
      <c r="D23" s="50">
        <v>75</v>
      </c>
      <c r="E23" s="50">
        <v>0</v>
      </c>
      <c r="F23" s="51">
        <v>75</v>
      </c>
      <c r="G23" s="51">
        <v>4</v>
      </c>
      <c r="H23" s="51" t="s">
        <v>11</v>
      </c>
      <c r="I23" s="51"/>
      <c r="J23" s="128"/>
      <c r="K23" s="138"/>
    </row>
    <row r="24" spans="2:11" ht="21.6" customHeight="1" x14ac:dyDescent="0.3">
      <c r="B24" s="49">
        <v>23</v>
      </c>
      <c r="C24" s="50" t="s">
        <v>29</v>
      </c>
      <c r="D24" s="50">
        <v>24</v>
      </c>
      <c r="E24" s="50">
        <v>2</v>
      </c>
      <c r="F24" s="51">
        <v>26</v>
      </c>
      <c r="G24" s="51">
        <v>0</v>
      </c>
      <c r="H24" s="51" t="s">
        <v>23</v>
      </c>
      <c r="I24" s="51"/>
      <c r="J24" s="128"/>
      <c r="K24" s="138"/>
    </row>
    <row r="25" spans="2:11" ht="21.6" customHeight="1" x14ac:dyDescent="0.3">
      <c r="B25" s="49">
        <v>24</v>
      </c>
      <c r="C25" s="50" t="s">
        <v>30</v>
      </c>
      <c r="D25" s="50">
        <v>27</v>
      </c>
      <c r="E25" s="50">
        <v>4</v>
      </c>
      <c r="F25" s="51">
        <v>31</v>
      </c>
      <c r="G25" s="51">
        <v>2</v>
      </c>
      <c r="H25" s="51" t="s">
        <v>23</v>
      </c>
      <c r="I25" s="51"/>
      <c r="J25" s="128"/>
      <c r="K25" s="138"/>
    </row>
    <row r="26" spans="2:11" ht="21.6" customHeight="1" x14ac:dyDescent="0.3">
      <c r="B26" s="49">
        <v>25</v>
      </c>
      <c r="C26" s="50" t="s">
        <v>31</v>
      </c>
      <c r="D26" s="50">
        <v>19</v>
      </c>
      <c r="E26" s="50">
        <v>4</v>
      </c>
      <c r="F26" s="51">
        <v>23</v>
      </c>
      <c r="G26" s="51">
        <v>1</v>
      </c>
      <c r="H26" s="51" t="s">
        <v>23</v>
      </c>
      <c r="I26" s="51"/>
      <c r="J26" s="128"/>
      <c r="K26" s="138"/>
    </row>
    <row r="27" spans="2:11" ht="21.6" customHeight="1" x14ac:dyDescent="0.3">
      <c r="B27" s="49">
        <v>26</v>
      </c>
      <c r="C27" s="50" t="s">
        <v>32</v>
      </c>
      <c r="D27" s="50">
        <v>9</v>
      </c>
      <c r="E27" s="50">
        <v>0</v>
      </c>
      <c r="F27" s="51">
        <v>9</v>
      </c>
      <c r="G27" s="51">
        <v>1</v>
      </c>
      <c r="H27" s="51" t="s">
        <v>13</v>
      </c>
      <c r="I27" s="51"/>
      <c r="J27" s="128"/>
      <c r="K27" s="138"/>
    </row>
    <row r="28" spans="2:11" ht="21.6" customHeight="1" x14ac:dyDescent="0.3">
      <c r="B28" s="49">
        <v>27</v>
      </c>
      <c r="C28" s="50" t="s">
        <v>33</v>
      </c>
      <c r="D28" s="50">
        <v>18</v>
      </c>
      <c r="E28" s="50">
        <v>4</v>
      </c>
      <c r="F28" s="51">
        <v>22</v>
      </c>
      <c r="G28" s="51">
        <v>2</v>
      </c>
      <c r="H28" s="51" t="s">
        <v>23</v>
      </c>
      <c r="I28" s="51"/>
      <c r="J28" s="128"/>
      <c r="K28" s="138"/>
    </row>
    <row r="29" spans="2:11" ht="21.6" customHeight="1" x14ac:dyDescent="0.3">
      <c r="B29" s="49">
        <v>28</v>
      </c>
      <c r="C29" s="50" t="s">
        <v>34</v>
      </c>
      <c r="D29" s="50">
        <v>23</v>
      </c>
      <c r="E29" s="50">
        <v>4</v>
      </c>
      <c r="F29" s="51">
        <v>27</v>
      </c>
      <c r="G29" s="51">
        <v>0</v>
      </c>
      <c r="H29" s="51" t="s">
        <v>35</v>
      </c>
      <c r="I29" s="51"/>
      <c r="J29" s="128"/>
      <c r="K29" s="138"/>
    </row>
    <row r="30" spans="2:11" ht="21.6" customHeight="1" thickBot="1" x14ac:dyDescent="0.35">
      <c r="B30" s="49">
        <v>29</v>
      </c>
      <c r="C30" s="50" t="s">
        <v>36</v>
      </c>
      <c r="D30" s="50">
        <v>46</v>
      </c>
      <c r="E30" s="50">
        <v>0</v>
      </c>
      <c r="F30" s="51">
        <v>46</v>
      </c>
      <c r="G30" s="51">
        <v>2</v>
      </c>
      <c r="H30" s="51" t="s">
        <v>37</v>
      </c>
      <c r="I30" s="51"/>
      <c r="J30" s="128"/>
      <c r="K30" s="138"/>
    </row>
    <row r="31" spans="2:11" ht="21.6" customHeight="1" x14ac:dyDescent="0.3">
      <c r="B31" s="49">
        <v>30</v>
      </c>
      <c r="C31" s="50" t="s">
        <v>38</v>
      </c>
      <c r="D31" s="50">
        <v>18</v>
      </c>
      <c r="E31" s="50">
        <v>4</v>
      </c>
      <c r="F31" s="51">
        <v>22</v>
      </c>
      <c r="G31" s="51">
        <v>0</v>
      </c>
      <c r="H31" s="51" t="s">
        <v>35</v>
      </c>
      <c r="I31" s="51"/>
      <c r="J31" s="128"/>
      <c r="K31" s="138"/>
    </row>
    <row r="32" spans="2:11" ht="21.6" customHeight="1" x14ac:dyDescent="0.3">
      <c r="B32" s="49">
        <v>31</v>
      </c>
      <c r="C32" s="50" t="s">
        <v>39</v>
      </c>
      <c r="D32" s="50">
        <v>22</v>
      </c>
      <c r="E32" s="50">
        <v>0</v>
      </c>
      <c r="F32" s="51">
        <v>22</v>
      </c>
      <c r="G32" s="51">
        <v>1</v>
      </c>
      <c r="H32" s="51" t="s">
        <v>35</v>
      </c>
      <c r="I32" s="51"/>
      <c r="J32" s="128"/>
      <c r="K32" s="138"/>
    </row>
    <row r="33" spans="2:11" ht="21.6" customHeight="1" x14ac:dyDescent="0.3">
      <c r="B33" s="49">
        <v>32</v>
      </c>
      <c r="C33" s="50" t="s">
        <v>40</v>
      </c>
      <c r="D33" s="50">
        <v>24</v>
      </c>
      <c r="E33" s="50">
        <v>0</v>
      </c>
      <c r="F33" s="51">
        <v>24</v>
      </c>
      <c r="G33" s="51">
        <v>1</v>
      </c>
      <c r="H33" s="51" t="s">
        <v>35</v>
      </c>
      <c r="I33" s="51"/>
      <c r="J33" s="128"/>
      <c r="K33" s="138"/>
    </row>
    <row r="34" spans="2:11" ht="21.6" customHeight="1" x14ac:dyDescent="0.3">
      <c r="B34" s="49">
        <v>33</v>
      </c>
      <c r="C34" s="50" t="s">
        <v>41</v>
      </c>
      <c r="D34" s="50">
        <v>20</v>
      </c>
      <c r="E34" s="50">
        <v>0</v>
      </c>
      <c r="F34" s="51">
        <v>20</v>
      </c>
      <c r="G34" s="51">
        <v>1</v>
      </c>
      <c r="H34" s="51" t="s">
        <v>35</v>
      </c>
      <c r="I34" s="51"/>
      <c r="J34" s="129"/>
      <c r="K34" s="139"/>
    </row>
    <row r="35" spans="2:11" ht="21.6" customHeight="1" x14ac:dyDescent="0.3">
      <c r="B35" s="54">
        <v>34</v>
      </c>
      <c r="C35" s="55" t="s">
        <v>12</v>
      </c>
      <c r="D35" s="55">
        <v>25</v>
      </c>
      <c r="E35" s="55">
        <v>6</v>
      </c>
      <c r="F35" s="56">
        <v>31</v>
      </c>
      <c r="G35" s="56">
        <v>1</v>
      </c>
      <c r="H35" s="56" t="s">
        <v>13</v>
      </c>
      <c r="I35" s="56"/>
      <c r="J35" s="57">
        <v>46361</v>
      </c>
      <c r="K35" s="58">
        <f>F35+G35</f>
        <v>32</v>
      </c>
    </row>
    <row r="36" spans="2:11" ht="21.6" customHeight="1" x14ac:dyDescent="0.3">
      <c r="B36" s="59">
        <v>40</v>
      </c>
      <c r="C36" s="60" t="s">
        <v>42</v>
      </c>
      <c r="D36" s="60">
        <v>34</v>
      </c>
      <c r="E36" s="60">
        <v>3</v>
      </c>
      <c r="F36" s="61">
        <v>37</v>
      </c>
      <c r="G36" s="61">
        <v>1</v>
      </c>
      <c r="H36" s="61" t="s">
        <v>23</v>
      </c>
      <c r="I36" s="61"/>
      <c r="J36" s="124">
        <v>46366</v>
      </c>
      <c r="K36" s="119">
        <f>SUM(F36:F37)+SUM(G36:G37)</f>
        <v>71</v>
      </c>
    </row>
    <row r="37" spans="2:11" ht="21.6" customHeight="1" x14ac:dyDescent="0.3">
      <c r="B37" s="59">
        <v>42</v>
      </c>
      <c r="C37" s="60" t="s">
        <v>43</v>
      </c>
      <c r="D37" s="60">
        <v>29</v>
      </c>
      <c r="E37" s="60">
        <v>3</v>
      </c>
      <c r="F37" s="61">
        <v>32</v>
      </c>
      <c r="G37" s="61">
        <v>1</v>
      </c>
      <c r="H37" s="61" t="s">
        <v>23</v>
      </c>
      <c r="I37" s="61"/>
      <c r="J37" s="126"/>
      <c r="K37" s="121"/>
    </row>
    <row r="38" spans="2:11" ht="21.6" customHeight="1" x14ac:dyDescent="0.3">
      <c r="B38" s="64">
        <v>35</v>
      </c>
      <c r="C38" s="65" t="s">
        <v>44</v>
      </c>
      <c r="D38" s="65">
        <v>26</v>
      </c>
      <c r="E38" s="65">
        <v>2</v>
      </c>
      <c r="F38" s="66">
        <v>28</v>
      </c>
      <c r="G38" s="66">
        <v>0</v>
      </c>
      <c r="H38" s="66" t="s">
        <v>11</v>
      </c>
      <c r="I38" s="66"/>
      <c r="J38" s="113" t="s">
        <v>300</v>
      </c>
      <c r="K38" s="116">
        <f>SUM(F38:F70)+SUM(G38:G70)</f>
        <v>1016</v>
      </c>
    </row>
    <row r="39" spans="2:11" ht="21.6" customHeight="1" x14ac:dyDescent="0.3">
      <c r="B39" s="64">
        <v>36</v>
      </c>
      <c r="C39" s="65" t="s">
        <v>46</v>
      </c>
      <c r="D39" s="65">
        <v>35</v>
      </c>
      <c r="E39" s="65">
        <v>0</v>
      </c>
      <c r="F39" s="66">
        <v>35</v>
      </c>
      <c r="G39" s="66">
        <v>2</v>
      </c>
      <c r="H39" s="66" t="s">
        <v>11</v>
      </c>
      <c r="I39" s="66"/>
      <c r="J39" s="114"/>
      <c r="K39" s="117"/>
    </row>
    <row r="40" spans="2:11" ht="21.6" customHeight="1" x14ac:dyDescent="0.3">
      <c r="B40" s="64">
        <v>37</v>
      </c>
      <c r="C40" s="65" t="s">
        <v>47</v>
      </c>
      <c r="D40" s="65">
        <v>28</v>
      </c>
      <c r="E40" s="65">
        <v>2</v>
      </c>
      <c r="F40" s="66">
        <v>30</v>
      </c>
      <c r="G40" s="66">
        <v>2</v>
      </c>
      <c r="H40" s="66" t="s">
        <v>11</v>
      </c>
      <c r="I40" s="66"/>
      <c r="J40" s="114"/>
      <c r="K40" s="117"/>
    </row>
    <row r="41" spans="2:11" ht="21.6" customHeight="1" thickBot="1" x14ac:dyDescent="0.35">
      <c r="B41" s="64">
        <v>38</v>
      </c>
      <c r="C41" s="65" t="s">
        <v>48</v>
      </c>
      <c r="D41" s="65">
        <v>39</v>
      </c>
      <c r="E41" s="65">
        <v>4</v>
      </c>
      <c r="F41" s="66">
        <v>43</v>
      </c>
      <c r="G41" s="66">
        <v>3</v>
      </c>
      <c r="H41" s="66" t="s">
        <v>13</v>
      </c>
      <c r="I41" s="66"/>
      <c r="J41" s="114"/>
      <c r="K41" s="117"/>
    </row>
    <row r="42" spans="2:11" ht="21.6" customHeight="1" x14ac:dyDescent="0.3">
      <c r="B42" s="64">
        <v>39</v>
      </c>
      <c r="C42" s="65" t="s">
        <v>49</v>
      </c>
      <c r="D42" s="65">
        <v>25</v>
      </c>
      <c r="E42" s="65">
        <v>5</v>
      </c>
      <c r="F42" s="66">
        <v>30</v>
      </c>
      <c r="G42" s="66">
        <v>0</v>
      </c>
      <c r="H42" s="66" t="s">
        <v>11</v>
      </c>
      <c r="I42" s="66"/>
      <c r="J42" s="114"/>
      <c r="K42" s="117"/>
    </row>
    <row r="43" spans="2:11" ht="21.6" customHeight="1" x14ac:dyDescent="0.3">
      <c r="B43" s="64">
        <v>41</v>
      </c>
      <c r="C43" s="65" t="s">
        <v>50</v>
      </c>
      <c r="D43" s="65">
        <v>30</v>
      </c>
      <c r="E43" s="65">
        <v>5</v>
      </c>
      <c r="F43" s="66">
        <v>35</v>
      </c>
      <c r="G43" s="66">
        <v>0</v>
      </c>
      <c r="H43" s="66" t="s">
        <v>11</v>
      </c>
      <c r="I43" s="66"/>
      <c r="J43" s="114"/>
      <c r="K43" s="117"/>
    </row>
    <row r="44" spans="2:11" ht="21.6" customHeight="1" x14ac:dyDescent="0.3">
      <c r="B44" s="64">
        <v>43</v>
      </c>
      <c r="C44" s="65" t="s">
        <v>51</v>
      </c>
      <c r="D44" s="65">
        <v>27</v>
      </c>
      <c r="E44" s="65">
        <v>2</v>
      </c>
      <c r="F44" s="66">
        <v>29</v>
      </c>
      <c r="G44" s="66">
        <v>1</v>
      </c>
      <c r="H44" s="66" t="s">
        <v>11</v>
      </c>
      <c r="I44" s="66"/>
      <c r="J44" s="114"/>
      <c r="K44" s="117"/>
    </row>
    <row r="45" spans="2:11" ht="21.6" customHeight="1" x14ac:dyDescent="0.3">
      <c r="B45" s="64">
        <v>44</v>
      </c>
      <c r="C45" s="65" t="s">
        <v>52</v>
      </c>
      <c r="D45" s="65">
        <v>25</v>
      </c>
      <c r="E45" s="65">
        <v>4</v>
      </c>
      <c r="F45" s="66">
        <v>29</v>
      </c>
      <c r="G45" s="66">
        <v>0</v>
      </c>
      <c r="H45" s="66" t="s">
        <v>11</v>
      </c>
      <c r="I45" s="66"/>
      <c r="J45" s="114"/>
      <c r="K45" s="117"/>
    </row>
    <row r="46" spans="2:11" ht="21.6" customHeight="1" x14ac:dyDescent="0.3">
      <c r="B46" s="64">
        <v>45</v>
      </c>
      <c r="C46" s="65" t="s">
        <v>53</v>
      </c>
      <c r="D46" s="65">
        <v>26</v>
      </c>
      <c r="E46" s="65">
        <v>0</v>
      </c>
      <c r="F46" s="66">
        <v>26</v>
      </c>
      <c r="G46" s="66">
        <v>2</v>
      </c>
      <c r="H46" s="66" t="s">
        <v>11</v>
      </c>
      <c r="I46" s="66"/>
      <c r="J46" s="114"/>
      <c r="K46" s="117"/>
    </row>
    <row r="47" spans="2:11" ht="21.6" customHeight="1" x14ac:dyDescent="0.3">
      <c r="B47" s="64">
        <v>46</v>
      </c>
      <c r="C47" s="65" t="s">
        <v>54</v>
      </c>
      <c r="D47" s="65">
        <v>23</v>
      </c>
      <c r="E47" s="65">
        <v>8</v>
      </c>
      <c r="F47" s="66">
        <v>31</v>
      </c>
      <c r="G47" s="66">
        <v>2</v>
      </c>
      <c r="H47" s="66" t="s">
        <v>11</v>
      </c>
      <c r="I47" s="66"/>
      <c r="J47" s="114"/>
      <c r="K47" s="117"/>
    </row>
    <row r="48" spans="2:11" ht="21.6" customHeight="1" thickBot="1" x14ac:dyDescent="0.35">
      <c r="B48" s="64">
        <v>47</v>
      </c>
      <c r="C48" s="65" t="s">
        <v>55</v>
      </c>
      <c r="D48" s="65">
        <v>25</v>
      </c>
      <c r="E48" s="65">
        <v>3</v>
      </c>
      <c r="F48" s="66">
        <v>28</v>
      </c>
      <c r="G48" s="66">
        <v>0</v>
      </c>
      <c r="H48" s="66" t="s">
        <v>11</v>
      </c>
      <c r="I48" s="66"/>
      <c r="J48" s="114"/>
      <c r="K48" s="117"/>
    </row>
    <row r="49" spans="2:11" ht="21" customHeight="1" x14ac:dyDescent="0.3">
      <c r="B49" s="64">
        <v>48</v>
      </c>
      <c r="C49" s="65" t="s">
        <v>56</v>
      </c>
      <c r="D49" s="65">
        <v>35</v>
      </c>
      <c r="E49" s="65">
        <v>3</v>
      </c>
      <c r="F49" s="66">
        <v>38</v>
      </c>
      <c r="G49" s="66">
        <v>2</v>
      </c>
      <c r="H49" s="66" t="s">
        <v>11</v>
      </c>
      <c r="I49" s="66"/>
      <c r="J49" s="114"/>
      <c r="K49" s="117"/>
    </row>
    <row r="50" spans="2:11" ht="21" customHeight="1" x14ac:dyDescent="0.3">
      <c r="B50" s="64">
        <v>49</v>
      </c>
      <c r="C50" s="65" t="s">
        <v>57</v>
      </c>
      <c r="D50" s="65">
        <v>15</v>
      </c>
      <c r="E50" s="65">
        <v>3</v>
      </c>
      <c r="F50" s="66">
        <v>18</v>
      </c>
      <c r="G50" s="66">
        <v>1</v>
      </c>
      <c r="H50" s="66" t="s">
        <v>11</v>
      </c>
      <c r="I50" s="66"/>
      <c r="J50" s="114"/>
      <c r="K50" s="117"/>
    </row>
    <row r="51" spans="2:11" ht="21" customHeight="1" x14ac:dyDescent="0.3">
      <c r="B51" s="64">
        <v>50</v>
      </c>
      <c r="C51" s="65" t="s">
        <v>58</v>
      </c>
      <c r="D51" s="65">
        <v>39</v>
      </c>
      <c r="E51" s="65">
        <v>4</v>
      </c>
      <c r="F51" s="66">
        <v>43</v>
      </c>
      <c r="G51" s="66">
        <v>0</v>
      </c>
      <c r="H51" s="66" t="s">
        <v>11</v>
      </c>
      <c r="I51" s="66"/>
      <c r="J51" s="114"/>
      <c r="K51" s="117"/>
    </row>
    <row r="52" spans="2:11" ht="21" customHeight="1" x14ac:dyDescent="0.3">
      <c r="B52" s="64">
        <v>51</v>
      </c>
      <c r="C52" s="65" t="s">
        <v>59</v>
      </c>
      <c r="D52" s="65">
        <v>23</v>
      </c>
      <c r="E52" s="65">
        <v>1</v>
      </c>
      <c r="F52" s="66">
        <v>24</v>
      </c>
      <c r="G52" s="66">
        <v>1</v>
      </c>
      <c r="H52" s="66" t="s">
        <v>11</v>
      </c>
      <c r="I52" s="66"/>
      <c r="J52" s="114"/>
      <c r="K52" s="117"/>
    </row>
    <row r="53" spans="2:11" ht="21" customHeight="1" thickBot="1" x14ac:dyDescent="0.35">
      <c r="B53" s="64">
        <v>52</v>
      </c>
      <c r="C53" s="65" t="s">
        <v>60</v>
      </c>
      <c r="D53" s="65">
        <v>23</v>
      </c>
      <c r="E53" s="65">
        <v>3</v>
      </c>
      <c r="F53" s="66">
        <v>26</v>
      </c>
      <c r="G53" s="66">
        <v>1</v>
      </c>
      <c r="H53" s="66" t="s">
        <v>11</v>
      </c>
      <c r="I53" s="66"/>
      <c r="J53" s="114"/>
      <c r="K53" s="117"/>
    </row>
    <row r="54" spans="2:11" ht="21" customHeight="1" x14ac:dyDescent="0.3">
      <c r="B54" s="64">
        <v>53</v>
      </c>
      <c r="C54" s="65" t="s">
        <v>61</v>
      </c>
      <c r="D54" s="65">
        <v>28</v>
      </c>
      <c r="E54" s="65">
        <v>2</v>
      </c>
      <c r="F54" s="66">
        <v>30</v>
      </c>
      <c r="G54" s="66">
        <v>2</v>
      </c>
      <c r="H54" s="66" t="s">
        <v>11</v>
      </c>
      <c r="I54" s="66"/>
      <c r="J54" s="114"/>
      <c r="K54" s="117"/>
    </row>
    <row r="55" spans="2:11" ht="21" customHeight="1" x14ac:dyDescent="0.3">
      <c r="B55" s="64">
        <v>54</v>
      </c>
      <c r="C55" s="65" t="s">
        <v>62</v>
      </c>
      <c r="D55" s="65">
        <v>10</v>
      </c>
      <c r="E55" s="65">
        <v>1</v>
      </c>
      <c r="F55" s="66">
        <v>11</v>
      </c>
      <c r="G55" s="66">
        <v>1</v>
      </c>
      <c r="H55" s="66" t="s">
        <v>11</v>
      </c>
      <c r="I55" s="66"/>
      <c r="J55" s="114"/>
      <c r="K55" s="117"/>
    </row>
    <row r="56" spans="2:11" ht="21" customHeight="1" x14ac:dyDescent="0.3">
      <c r="B56" s="64">
        <v>56</v>
      </c>
      <c r="C56" s="65" t="s">
        <v>63</v>
      </c>
      <c r="D56" s="65">
        <v>21</v>
      </c>
      <c r="E56" s="65">
        <v>0</v>
      </c>
      <c r="F56" s="66">
        <v>21</v>
      </c>
      <c r="G56" s="66">
        <v>1</v>
      </c>
      <c r="H56" s="66" t="s">
        <v>11</v>
      </c>
      <c r="I56" s="66"/>
      <c r="J56" s="114"/>
      <c r="K56" s="117"/>
    </row>
    <row r="57" spans="2:11" ht="21" customHeight="1" x14ac:dyDescent="0.3">
      <c r="B57" s="64">
        <v>57</v>
      </c>
      <c r="C57" s="65" t="s">
        <v>64</v>
      </c>
      <c r="D57" s="65">
        <v>27</v>
      </c>
      <c r="E57" s="65">
        <v>3</v>
      </c>
      <c r="F57" s="66">
        <v>30</v>
      </c>
      <c r="G57" s="66">
        <v>2</v>
      </c>
      <c r="H57" s="66" t="s">
        <v>23</v>
      </c>
      <c r="I57" s="66"/>
      <c r="J57" s="114"/>
      <c r="K57" s="117"/>
    </row>
    <row r="58" spans="2:11" ht="21" customHeight="1" x14ac:dyDescent="0.3">
      <c r="B58" s="64">
        <v>58</v>
      </c>
      <c r="C58" s="65" t="s">
        <v>65</v>
      </c>
      <c r="D58" s="65">
        <v>35</v>
      </c>
      <c r="E58" s="65">
        <v>4</v>
      </c>
      <c r="F58" s="66">
        <v>39</v>
      </c>
      <c r="G58" s="66">
        <v>2</v>
      </c>
      <c r="H58" s="66" t="s">
        <v>23</v>
      </c>
      <c r="I58" s="66"/>
      <c r="J58" s="114"/>
      <c r="K58" s="117"/>
    </row>
    <row r="59" spans="2:11" ht="21" customHeight="1" x14ac:dyDescent="0.3">
      <c r="B59" s="64">
        <v>59</v>
      </c>
      <c r="C59" s="65" t="s">
        <v>66</v>
      </c>
      <c r="D59" s="65">
        <v>35</v>
      </c>
      <c r="E59" s="65">
        <v>2</v>
      </c>
      <c r="F59" s="66">
        <v>37</v>
      </c>
      <c r="G59" s="66">
        <v>0</v>
      </c>
      <c r="H59" s="66" t="s">
        <v>35</v>
      </c>
      <c r="I59" s="66"/>
      <c r="J59" s="114"/>
      <c r="K59" s="117"/>
    </row>
    <row r="60" spans="2:11" ht="21" customHeight="1" x14ac:dyDescent="0.3">
      <c r="B60" s="64">
        <v>60</v>
      </c>
      <c r="C60" s="65" t="s">
        <v>67</v>
      </c>
      <c r="D60" s="65">
        <v>30</v>
      </c>
      <c r="E60" s="65">
        <v>4</v>
      </c>
      <c r="F60" s="66">
        <v>34</v>
      </c>
      <c r="G60" s="66">
        <v>2</v>
      </c>
      <c r="H60" s="66" t="s">
        <v>23</v>
      </c>
      <c r="I60" s="66"/>
      <c r="J60" s="114"/>
      <c r="K60" s="117"/>
    </row>
    <row r="61" spans="2:11" ht="21" customHeight="1" thickBot="1" x14ac:dyDescent="0.35">
      <c r="B61" s="64">
        <v>61</v>
      </c>
      <c r="C61" s="65" t="s">
        <v>68</v>
      </c>
      <c r="D61" s="65">
        <v>26</v>
      </c>
      <c r="E61" s="65">
        <v>4</v>
      </c>
      <c r="F61" s="66">
        <v>30</v>
      </c>
      <c r="G61" s="66">
        <v>1</v>
      </c>
      <c r="H61" s="66" t="s">
        <v>35</v>
      </c>
      <c r="I61" s="66"/>
      <c r="J61" s="114"/>
      <c r="K61" s="117"/>
    </row>
    <row r="62" spans="2:11" ht="21" customHeight="1" x14ac:dyDescent="0.3">
      <c r="B62" s="64">
        <v>62</v>
      </c>
      <c r="C62" s="65" t="s">
        <v>69</v>
      </c>
      <c r="D62" s="65">
        <v>28</v>
      </c>
      <c r="E62" s="65">
        <v>0</v>
      </c>
      <c r="F62" s="66">
        <v>28</v>
      </c>
      <c r="G62" s="66">
        <v>2</v>
      </c>
      <c r="H62" s="66" t="s">
        <v>35</v>
      </c>
      <c r="I62" s="66"/>
      <c r="J62" s="114"/>
      <c r="K62" s="117"/>
    </row>
    <row r="63" spans="2:11" ht="21" customHeight="1" x14ac:dyDescent="0.3">
      <c r="B63" s="64">
        <v>63</v>
      </c>
      <c r="C63" s="65" t="s">
        <v>70</v>
      </c>
      <c r="D63" s="65">
        <v>26</v>
      </c>
      <c r="E63" s="65">
        <v>3</v>
      </c>
      <c r="F63" s="66">
        <v>29</v>
      </c>
      <c r="G63" s="66">
        <v>2</v>
      </c>
      <c r="H63" s="66" t="s">
        <v>35</v>
      </c>
      <c r="I63" s="66"/>
      <c r="J63" s="114"/>
      <c r="K63" s="117"/>
    </row>
    <row r="64" spans="2:11" ht="21" customHeight="1" x14ac:dyDescent="0.3">
      <c r="B64" s="64">
        <v>64</v>
      </c>
      <c r="C64" s="65" t="s">
        <v>71</v>
      </c>
      <c r="D64" s="65">
        <v>22</v>
      </c>
      <c r="E64" s="65">
        <v>1</v>
      </c>
      <c r="F64" s="66">
        <v>23</v>
      </c>
      <c r="G64" s="66">
        <v>1</v>
      </c>
      <c r="H64" s="66" t="s">
        <v>23</v>
      </c>
      <c r="I64" s="66"/>
      <c r="J64" s="114"/>
      <c r="K64" s="117"/>
    </row>
    <row r="65" spans="2:11" ht="21" customHeight="1" x14ac:dyDescent="0.3">
      <c r="B65" s="64">
        <v>65</v>
      </c>
      <c r="C65" s="65" t="s">
        <v>72</v>
      </c>
      <c r="D65" s="65">
        <v>26</v>
      </c>
      <c r="E65" s="65">
        <v>2</v>
      </c>
      <c r="F65" s="66">
        <v>28</v>
      </c>
      <c r="G65" s="66">
        <v>1</v>
      </c>
      <c r="H65" s="66" t="s">
        <v>23</v>
      </c>
      <c r="I65" s="66"/>
      <c r="J65" s="114"/>
      <c r="K65" s="117"/>
    </row>
    <row r="66" spans="2:11" ht="21" customHeight="1" x14ac:dyDescent="0.3">
      <c r="B66" s="64">
        <v>66</v>
      </c>
      <c r="C66" s="65" t="s">
        <v>73</v>
      </c>
      <c r="D66" s="65">
        <v>32</v>
      </c>
      <c r="E66" s="65">
        <v>4</v>
      </c>
      <c r="F66" s="66">
        <v>36</v>
      </c>
      <c r="G66" s="66">
        <v>2</v>
      </c>
      <c r="H66" s="66" t="s">
        <v>23</v>
      </c>
      <c r="I66" s="66"/>
      <c r="J66" s="114"/>
      <c r="K66" s="117"/>
    </row>
    <row r="67" spans="2:11" ht="21" customHeight="1" x14ac:dyDescent="0.3">
      <c r="B67" s="64">
        <v>67</v>
      </c>
      <c r="C67" s="65" t="s">
        <v>74</v>
      </c>
      <c r="D67" s="65">
        <v>19</v>
      </c>
      <c r="E67" s="65">
        <v>3</v>
      </c>
      <c r="F67" s="66">
        <v>22</v>
      </c>
      <c r="G67" s="66">
        <v>0</v>
      </c>
      <c r="H67" s="66" t="s">
        <v>23</v>
      </c>
      <c r="I67" s="66"/>
      <c r="J67" s="114"/>
      <c r="K67" s="117"/>
    </row>
    <row r="68" spans="2:11" ht="21" customHeight="1" x14ac:dyDescent="0.3">
      <c r="B68" s="64">
        <v>68</v>
      </c>
      <c r="C68" s="65" t="s">
        <v>75</v>
      </c>
      <c r="D68" s="65">
        <v>26</v>
      </c>
      <c r="E68" s="65">
        <v>4</v>
      </c>
      <c r="F68" s="66">
        <v>30</v>
      </c>
      <c r="G68" s="66">
        <v>0</v>
      </c>
      <c r="H68" s="66" t="s">
        <v>13</v>
      </c>
      <c r="I68" s="66"/>
      <c r="J68" s="114"/>
      <c r="K68" s="117"/>
    </row>
    <row r="69" spans="2:11" ht="21" customHeight="1" x14ac:dyDescent="0.3">
      <c r="B69" s="64">
        <v>69</v>
      </c>
      <c r="C69" s="65" t="s">
        <v>76</v>
      </c>
      <c r="D69" s="65">
        <v>27</v>
      </c>
      <c r="E69" s="65">
        <v>1</v>
      </c>
      <c r="F69" s="66">
        <v>28</v>
      </c>
      <c r="G69" s="66">
        <v>2</v>
      </c>
      <c r="H69" s="66" t="s">
        <v>35</v>
      </c>
      <c r="I69" s="66"/>
      <c r="J69" s="114"/>
      <c r="K69" s="117"/>
    </row>
    <row r="70" spans="2:11" ht="21" customHeight="1" thickBot="1" x14ac:dyDescent="0.35">
      <c r="B70" s="64">
        <v>82</v>
      </c>
      <c r="C70" s="65" t="s">
        <v>77</v>
      </c>
      <c r="D70" s="65">
        <v>26</v>
      </c>
      <c r="E70" s="65">
        <v>3</v>
      </c>
      <c r="F70" s="66">
        <v>29</v>
      </c>
      <c r="G70" s="66">
        <v>0</v>
      </c>
      <c r="H70" s="66" t="s">
        <v>11</v>
      </c>
      <c r="I70" s="66"/>
      <c r="J70" s="115"/>
      <c r="K70" s="118"/>
    </row>
    <row r="71" spans="2:11" ht="22.95" customHeight="1" thickBot="1" x14ac:dyDescent="0.35">
      <c r="B71" s="39">
        <v>19</v>
      </c>
      <c r="C71" s="40" t="s">
        <v>78</v>
      </c>
      <c r="D71" s="40">
        <v>33</v>
      </c>
      <c r="E71" s="40">
        <v>0</v>
      </c>
      <c r="F71" s="41">
        <v>33</v>
      </c>
      <c r="G71" s="41">
        <v>0</v>
      </c>
      <c r="H71" s="41" t="s">
        <v>11</v>
      </c>
      <c r="I71" s="41"/>
      <c r="J71" s="205" t="s">
        <v>301</v>
      </c>
      <c r="K71" s="202">
        <f>SUM(F71:F98)+SUM(G71:G98)</f>
        <v>894</v>
      </c>
    </row>
    <row r="72" spans="2:11" ht="19.2" customHeight="1" x14ac:dyDescent="0.3">
      <c r="B72" s="39">
        <v>55</v>
      </c>
      <c r="C72" s="40" t="s">
        <v>80</v>
      </c>
      <c r="D72" s="40">
        <v>26</v>
      </c>
      <c r="E72" s="40">
        <v>3</v>
      </c>
      <c r="F72" s="41">
        <v>29</v>
      </c>
      <c r="G72" s="41">
        <v>2</v>
      </c>
      <c r="H72" s="41" t="s">
        <v>13</v>
      </c>
      <c r="I72" s="41"/>
      <c r="J72" s="144"/>
      <c r="K72" s="203"/>
    </row>
    <row r="73" spans="2:11" ht="19.2" customHeight="1" x14ac:dyDescent="0.3">
      <c r="B73" s="39">
        <v>70</v>
      </c>
      <c r="C73" s="40" t="s">
        <v>81</v>
      </c>
      <c r="D73" s="40">
        <v>27</v>
      </c>
      <c r="E73" s="40">
        <v>3</v>
      </c>
      <c r="F73" s="41">
        <v>30</v>
      </c>
      <c r="G73" s="41">
        <v>2</v>
      </c>
      <c r="H73" s="41" t="s">
        <v>11</v>
      </c>
      <c r="I73" s="41"/>
      <c r="J73" s="144"/>
      <c r="K73" s="203"/>
    </row>
    <row r="74" spans="2:11" ht="26.4" x14ac:dyDescent="0.3">
      <c r="B74" s="39">
        <v>71</v>
      </c>
      <c r="C74" s="40" t="s">
        <v>82</v>
      </c>
      <c r="D74" s="40">
        <v>26</v>
      </c>
      <c r="E74" s="40">
        <v>8</v>
      </c>
      <c r="F74" s="41">
        <v>34</v>
      </c>
      <c r="G74" s="41">
        <v>1</v>
      </c>
      <c r="H74" s="41" t="s">
        <v>11</v>
      </c>
      <c r="I74" s="41"/>
      <c r="J74" s="144"/>
      <c r="K74" s="203"/>
    </row>
    <row r="75" spans="2:11" x14ac:dyDescent="0.3">
      <c r="B75" s="39">
        <v>72</v>
      </c>
      <c r="C75" s="40" t="s">
        <v>83</v>
      </c>
      <c r="D75" s="40">
        <v>15</v>
      </c>
      <c r="E75" s="40">
        <v>1</v>
      </c>
      <c r="F75" s="41">
        <v>16</v>
      </c>
      <c r="G75" s="41">
        <v>1</v>
      </c>
      <c r="H75" s="41" t="s">
        <v>13</v>
      </c>
      <c r="I75" s="41"/>
      <c r="J75" s="144"/>
      <c r="K75" s="203"/>
    </row>
    <row r="76" spans="2:11" ht="26.4" x14ac:dyDescent="0.3">
      <c r="B76" s="39">
        <v>73</v>
      </c>
      <c r="C76" s="40" t="s">
        <v>84</v>
      </c>
      <c r="D76" s="40">
        <v>36</v>
      </c>
      <c r="E76" s="40">
        <v>0</v>
      </c>
      <c r="F76" s="41">
        <v>36</v>
      </c>
      <c r="G76" s="41">
        <v>2</v>
      </c>
      <c r="H76" s="41" t="s">
        <v>11</v>
      </c>
      <c r="I76" s="41"/>
      <c r="J76" s="144"/>
      <c r="K76" s="203"/>
    </row>
    <row r="77" spans="2:11" ht="26.4" x14ac:dyDescent="0.3">
      <c r="B77" s="39">
        <v>74</v>
      </c>
      <c r="C77" s="40" t="s">
        <v>85</v>
      </c>
      <c r="D77" s="40">
        <v>19</v>
      </c>
      <c r="E77" s="40">
        <v>3</v>
      </c>
      <c r="F77" s="41">
        <v>22</v>
      </c>
      <c r="G77" s="41">
        <v>0</v>
      </c>
      <c r="H77" s="41" t="s">
        <v>11</v>
      </c>
      <c r="I77" s="41"/>
      <c r="J77" s="144"/>
      <c r="K77" s="203"/>
    </row>
    <row r="78" spans="2:11" ht="26.4" x14ac:dyDescent="0.3">
      <c r="B78" s="39">
        <v>75</v>
      </c>
      <c r="C78" s="40" t="s">
        <v>86</v>
      </c>
      <c r="D78" s="40">
        <v>37</v>
      </c>
      <c r="E78" s="40">
        <v>9</v>
      </c>
      <c r="F78" s="41">
        <v>46</v>
      </c>
      <c r="G78" s="41">
        <v>0</v>
      </c>
      <c r="H78" s="41" t="s">
        <v>11</v>
      </c>
      <c r="I78" s="41"/>
      <c r="J78" s="144"/>
      <c r="K78" s="203"/>
    </row>
    <row r="79" spans="2:11" ht="26.4" x14ac:dyDescent="0.3">
      <c r="B79" s="39">
        <v>76</v>
      </c>
      <c r="C79" s="40" t="s">
        <v>87</v>
      </c>
      <c r="D79" s="40">
        <v>30</v>
      </c>
      <c r="E79" s="40">
        <v>6</v>
      </c>
      <c r="F79" s="41">
        <v>36</v>
      </c>
      <c r="G79" s="41">
        <v>2</v>
      </c>
      <c r="H79" s="41" t="s">
        <v>11</v>
      </c>
      <c r="I79" s="41"/>
      <c r="J79" s="144"/>
      <c r="K79" s="203"/>
    </row>
    <row r="80" spans="2:11" ht="26.4" x14ac:dyDescent="0.3">
      <c r="B80" s="39">
        <v>77</v>
      </c>
      <c r="C80" s="40" t="s">
        <v>88</v>
      </c>
      <c r="D80" s="40">
        <v>26</v>
      </c>
      <c r="E80" s="40">
        <v>10</v>
      </c>
      <c r="F80" s="41">
        <v>36</v>
      </c>
      <c r="G80" s="41">
        <v>2</v>
      </c>
      <c r="H80" s="41" t="s">
        <v>11</v>
      </c>
      <c r="I80" s="41"/>
      <c r="J80" s="144"/>
      <c r="K80" s="203"/>
    </row>
    <row r="81" spans="2:11" ht="26.4" x14ac:dyDescent="0.3">
      <c r="B81" s="39">
        <v>78</v>
      </c>
      <c r="C81" s="40" t="s">
        <v>89</v>
      </c>
      <c r="D81" s="40">
        <v>37</v>
      </c>
      <c r="E81" s="40">
        <v>7</v>
      </c>
      <c r="F81" s="41">
        <v>44</v>
      </c>
      <c r="G81" s="41">
        <v>0</v>
      </c>
      <c r="H81" s="41" t="s">
        <v>11</v>
      </c>
      <c r="I81" s="41"/>
      <c r="J81" s="144"/>
      <c r="K81" s="203"/>
    </row>
    <row r="82" spans="2:11" ht="26.4" x14ac:dyDescent="0.3">
      <c r="B82" s="39">
        <v>79</v>
      </c>
      <c r="C82" s="40" t="s">
        <v>90</v>
      </c>
      <c r="D82" s="40">
        <v>36</v>
      </c>
      <c r="E82" s="40">
        <v>6</v>
      </c>
      <c r="F82" s="41">
        <v>42</v>
      </c>
      <c r="G82" s="41">
        <v>3</v>
      </c>
      <c r="H82" s="41" t="s">
        <v>11</v>
      </c>
      <c r="I82" s="41"/>
      <c r="J82" s="144"/>
      <c r="K82" s="203"/>
    </row>
    <row r="83" spans="2:11" ht="26.4" x14ac:dyDescent="0.3">
      <c r="B83" s="39">
        <v>80</v>
      </c>
      <c r="C83" s="40" t="s">
        <v>91</v>
      </c>
      <c r="D83" s="40">
        <v>32</v>
      </c>
      <c r="E83" s="40">
        <v>0</v>
      </c>
      <c r="F83" s="41">
        <v>32</v>
      </c>
      <c r="G83" s="41">
        <v>2</v>
      </c>
      <c r="H83" s="41" t="s">
        <v>11</v>
      </c>
      <c r="I83" s="41"/>
      <c r="J83" s="144"/>
      <c r="K83" s="203"/>
    </row>
    <row r="84" spans="2:11" ht="26.4" x14ac:dyDescent="0.3">
      <c r="B84" s="39">
        <v>81</v>
      </c>
      <c r="C84" s="40" t="s">
        <v>92</v>
      </c>
      <c r="D84" s="40">
        <v>29</v>
      </c>
      <c r="E84" s="40">
        <v>2</v>
      </c>
      <c r="F84" s="41">
        <v>31</v>
      </c>
      <c r="G84" s="41">
        <v>2</v>
      </c>
      <c r="H84" s="41" t="s">
        <v>11</v>
      </c>
      <c r="I84" s="41"/>
      <c r="J84" s="144"/>
      <c r="K84" s="203"/>
    </row>
    <row r="85" spans="2:11" ht="26.4" x14ac:dyDescent="0.3">
      <c r="B85" s="39">
        <v>83</v>
      </c>
      <c r="C85" s="40" t="s">
        <v>93</v>
      </c>
      <c r="D85" s="40">
        <v>25</v>
      </c>
      <c r="E85" s="40">
        <v>6</v>
      </c>
      <c r="F85" s="41">
        <v>31</v>
      </c>
      <c r="G85" s="41">
        <v>2</v>
      </c>
      <c r="H85" s="41" t="s">
        <v>11</v>
      </c>
      <c r="I85" s="41"/>
      <c r="J85" s="144"/>
      <c r="K85" s="203"/>
    </row>
    <row r="86" spans="2:11" ht="26.4" x14ac:dyDescent="0.3">
      <c r="B86" s="39">
        <v>84</v>
      </c>
      <c r="C86" s="40" t="s">
        <v>94</v>
      </c>
      <c r="D86" s="40">
        <v>21</v>
      </c>
      <c r="E86" s="40">
        <v>8</v>
      </c>
      <c r="F86" s="41">
        <v>29</v>
      </c>
      <c r="G86" s="41">
        <v>1</v>
      </c>
      <c r="H86" s="41" t="s">
        <v>23</v>
      </c>
      <c r="I86" s="41"/>
      <c r="J86" s="144"/>
      <c r="K86" s="203"/>
    </row>
    <row r="87" spans="2:11" ht="26.4" x14ac:dyDescent="0.3">
      <c r="B87" s="39">
        <v>85</v>
      </c>
      <c r="C87" s="40" t="s">
        <v>95</v>
      </c>
      <c r="D87" s="40">
        <v>27</v>
      </c>
      <c r="E87" s="40">
        <v>2</v>
      </c>
      <c r="F87" s="41">
        <v>29</v>
      </c>
      <c r="G87" s="41">
        <v>1</v>
      </c>
      <c r="H87" s="41" t="s">
        <v>23</v>
      </c>
      <c r="I87" s="41"/>
      <c r="J87" s="144"/>
      <c r="K87" s="203"/>
    </row>
    <row r="88" spans="2:11" x14ac:dyDescent="0.3">
      <c r="B88" s="39">
        <v>86</v>
      </c>
      <c r="C88" s="40" t="s">
        <v>96</v>
      </c>
      <c r="D88" s="40">
        <v>20</v>
      </c>
      <c r="E88" s="40">
        <v>1</v>
      </c>
      <c r="F88" s="41">
        <v>21</v>
      </c>
      <c r="G88" s="41">
        <v>1</v>
      </c>
      <c r="H88" s="41" t="s">
        <v>23</v>
      </c>
      <c r="I88" s="41"/>
      <c r="J88" s="144"/>
      <c r="K88" s="203"/>
    </row>
    <row r="89" spans="2:11" ht="26.4" x14ac:dyDescent="0.3">
      <c r="B89" s="39">
        <v>87</v>
      </c>
      <c r="C89" s="40" t="s">
        <v>97</v>
      </c>
      <c r="D89" s="40">
        <v>65</v>
      </c>
      <c r="E89" s="40">
        <v>5</v>
      </c>
      <c r="F89" s="41">
        <v>70</v>
      </c>
      <c r="G89" s="41">
        <v>3</v>
      </c>
      <c r="H89" s="41" t="s">
        <v>35</v>
      </c>
      <c r="I89" s="41"/>
      <c r="J89" s="144"/>
      <c r="K89" s="203"/>
    </row>
    <row r="90" spans="2:11" x14ac:dyDescent="0.3">
      <c r="B90" s="39">
        <v>88</v>
      </c>
      <c r="C90" s="40" t="s">
        <v>98</v>
      </c>
      <c r="D90" s="40">
        <v>21</v>
      </c>
      <c r="E90" s="40">
        <v>2</v>
      </c>
      <c r="F90" s="41">
        <v>23</v>
      </c>
      <c r="G90" s="41">
        <v>1</v>
      </c>
      <c r="H90" s="41" t="s">
        <v>23</v>
      </c>
      <c r="I90" s="41"/>
      <c r="J90" s="144"/>
      <c r="K90" s="203"/>
    </row>
    <row r="91" spans="2:11" ht="26.4" x14ac:dyDescent="0.3">
      <c r="B91" s="39">
        <v>89</v>
      </c>
      <c r="C91" s="40" t="s">
        <v>99</v>
      </c>
      <c r="D91" s="40">
        <v>16</v>
      </c>
      <c r="E91" s="40">
        <v>1</v>
      </c>
      <c r="F91" s="41">
        <v>17</v>
      </c>
      <c r="G91" s="41">
        <v>0</v>
      </c>
      <c r="H91" s="41" t="s">
        <v>23</v>
      </c>
      <c r="I91" s="41"/>
      <c r="J91" s="144"/>
      <c r="K91" s="203"/>
    </row>
    <row r="92" spans="2:11" x14ac:dyDescent="0.3">
      <c r="B92" s="39">
        <v>90</v>
      </c>
      <c r="C92" s="40" t="s">
        <v>100</v>
      </c>
      <c r="D92" s="40">
        <v>33</v>
      </c>
      <c r="E92" s="40">
        <v>3</v>
      </c>
      <c r="F92" s="41">
        <v>36</v>
      </c>
      <c r="G92" s="41">
        <v>0</v>
      </c>
      <c r="H92" s="41" t="s">
        <v>23</v>
      </c>
      <c r="I92" s="41"/>
      <c r="J92" s="144"/>
      <c r="K92" s="203"/>
    </row>
    <row r="93" spans="2:11" ht="26.4" x14ac:dyDescent="0.3">
      <c r="B93" s="39">
        <v>91</v>
      </c>
      <c r="C93" s="40" t="s">
        <v>101</v>
      </c>
      <c r="D93" s="40">
        <v>28</v>
      </c>
      <c r="E93" s="40">
        <v>3</v>
      </c>
      <c r="F93" s="41">
        <v>31</v>
      </c>
      <c r="G93" s="41">
        <v>0</v>
      </c>
      <c r="H93" s="41" t="s">
        <v>23</v>
      </c>
      <c r="I93" s="41"/>
      <c r="J93" s="144"/>
      <c r="K93" s="203"/>
    </row>
    <row r="94" spans="2:11" x14ac:dyDescent="0.3">
      <c r="B94" s="39">
        <v>92</v>
      </c>
      <c r="C94" s="40" t="s">
        <v>102</v>
      </c>
      <c r="D94" s="40">
        <v>12</v>
      </c>
      <c r="E94" s="40">
        <v>2</v>
      </c>
      <c r="F94" s="41">
        <v>14</v>
      </c>
      <c r="G94" s="41">
        <v>1</v>
      </c>
      <c r="H94" s="41" t="s">
        <v>35</v>
      </c>
      <c r="I94" s="41"/>
      <c r="J94" s="144"/>
      <c r="K94" s="203"/>
    </row>
    <row r="95" spans="2:11" x14ac:dyDescent="0.3">
      <c r="B95" s="39">
        <v>93</v>
      </c>
      <c r="C95" s="40" t="s">
        <v>103</v>
      </c>
      <c r="D95" s="40">
        <v>21</v>
      </c>
      <c r="E95" s="40">
        <v>3</v>
      </c>
      <c r="F95" s="41">
        <v>24</v>
      </c>
      <c r="G95" s="41">
        <v>1</v>
      </c>
      <c r="H95" s="41" t="s">
        <v>35</v>
      </c>
      <c r="I95" s="41"/>
      <c r="J95" s="144"/>
      <c r="K95" s="203"/>
    </row>
    <row r="96" spans="2:11" x14ac:dyDescent="0.3">
      <c r="B96" s="39">
        <v>94</v>
      </c>
      <c r="C96" s="40" t="s">
        <v>104</v>
      </c>
      <c r="D96" s="40">
        <v>3</v>
      </c>
      <c r="E96" s="40"/>
      <c r="F96" s="41">
        <v>3</v>
      </c>
      <c r="G96" s="41">
        <v>1</v>
      </c>
      <c r="H96" s="41" t="s">
        <v>105</v>
      </c>
      <c r="I96" s="41"/>
      <c r="J96" s="144"/>
      <c r="K96" s="203"/>
    </row>
    <row r="97" spans="2:11" ht="26.4" x14ac:dyDescent="0.3">
      <c r="B97" s="39">
        <v>95</v>
      </c>
      <c r="C97" s="40" t="s">
        <v>106</v>
      </c>
      <c r="D97" s="40">
        <v>28</v>
      </c>
      <c r="E97" s="40">
        <v>0</v>
      </c>
      <c r="F97" s="41">
        <v>28</v>
      </c>
      <c r="G97" s="41">
        <v>2</v>
      </c>
      <c r="H97" s="41" t="s">
        <v>11</v>
      </c>
      <c r="I97" s="41"/>
      <c r="J97" s="144"/>
      <c r="K97" s="203"/>
    </row>
    <row r="98" spans="2:11" ht="26.4" x14ac:dyDescent="0.3">
      <c r="B98" s="39">
        <v>96</v>
      </c>
      <c r="C98" s="40" t="s">
        <v>107</v>
      </c>
      <c r="D98" s="40">
        <v>36</v>
      </c>
      <c r="E98" s="40">
        <v>0</v>
      </c>
      <c r="F98" s="41">
        <v>36</v>
      </c>
      <c r="G98" s="41">
        <v>2</v>
      </c>
      <c r="H98" s="41" t="s">
        <v>11</v>
      </c>
      <c r="I98" s="41"/>
      <c r="J98" s="206"/>
      <c r="K98" s="204"/>
    </row>
    <row r="99" spans="2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2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2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2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2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2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2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2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2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2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2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2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2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2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2">
    <mergeCell ref="K71:K98"/>
    <mergeCell ref="K38:K70"/>
    <mergeCell ref="B1:K1"/>
    <mergeCell ref="J71:J98"/>
    <mergeCell ref="J38:J70"/>
    <mergeCell ref="K36:K37"/>
    <mergeCell ref="J4:J10"/>
    <mergeCell ref="K11:K34"/>
    <mergeCell ref="B2:C2"/>
    <mergeCell ref="K4:K10"/>
    <mergeCell ref="J11:J34"/>
    <mergeCell ref="J36:J37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30" t="s">
        <v>302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2:11" s="3" customFormat="1" ht="24.6" customHeight="1" thickBot="1" x14ac:dyDescent="0.35">
      <c r="B2" s="122" t="s">
        <v>1</v>
      </c>
      <c r="C2" s="123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63</v>
      </c>
      <c r="G3" s="41">
        <v>3</v>
      </c>
      <c r="H3" s="41" t="s">
        <v>11</v>
      </c>
      <c r="I3" s="41"/>
      <c r="J3" s="42">
        <v>46286</v>
      </c>
      <c r="K3" s="43">
        <f>F3+G3</f>
        <v>66</v>
      </c>
    </row>
    <row r="4" spans="2:11" ht="19.95" customHeight="1" x14ac:dyDescent="0.3">
      <c r="B4" s="44">
        <v>2</v>
      </c>
      <c r="C4" s="45" t="s">
        <v>292</v>
      </c>
      <c r="D4" s="45">
        <v>19</v>
      </c>
      <c r="E4" s="45">
        <v>4</v>
      </c>
      <c r="F4" s="46">
        <v>23</v>
      </c>
      <c r="G4" s="46">
        <v>2</v>
      </c>
      <c r="H4" s="46" t="s">
        <v>23</v>
      </c>
      <c r="I4" s="46"/>
      <c r="J4" s="47">
        <v>46348</v>
      </c>
      <c r="K4" s="48">
        <f>F4+G4</f>
        <v>25</v>
      </c>
    </row>
    <row r="5" spans="2:11" ht="19.95" customHeight="1" x14ac:dyDescent="0.3">
      <c r="B5" s="49">
        <v>3</v>
      </c>
      <c r="C5" s="50" t="s">
        <v>293</v>
      </c>
      <c r="D5" s="50">
        <v>16</v>
      </c>
      <c r="E5" s="50">
        <v>4</v>
      </c>
      <c r="F5" s="51">
        <v>20</v>
      </c>
      <c r="G5" s="51">
        <v>1</v>
      </c>
      <c r="H5" s="51" t="s">
        <v>11</v>
      </c>
      <c r="I5" s="51"/>
      <c r="J5" s="127">
        <v>46352</v>
      </c>
      <c r="K5" s="137">
        <f>SUM(F5:F10)+SUM(G5:G10)</f>
        <v>324</v>
      </c>
    </row>
    <row r="6" spans="2:11" ht="19.95" customHeight="1" x14ac:dyDescent="0.3">
      <c r="B6" s="49">
        <v>4</v>
      </c>
      <c r="C6" s="50" t="s">
        <v>294</v>
      </c>
      <c r="D6" s="50">
        <v>29</v>
      </c>
      <c r="E6" s="50">
        <v>4</v>
      </c>
      <c r="F6" s="51">
        <v>33</v>
      </c>
      <c r="G6" s="51">
        <v>2</v>
      </c>
      <c r="H6" s="51" t="s">
        <v>11</v>
      </c>
      <c r="I6" s="51"/>
      <c r="J6" s="128"/>
      <c r="K6" s="138"/>
    </row>
    <row r="7" spans="2:11" ht="19.95" customHeight="1" x14ac:dyDescent="0.3">
      <c r="B7" s="49">
        <v>5</v>
      </c>
      <c r="C7" s="50" t="s">
        <v>295</v>
      </c>
      <c r="D7" s="50">
        <v>30</v>
      </c>
      <c r="E7" s="50">
        <v>4</v>
      </c>
      <c r="F7" s="51">
        <v>34</v>
      </c>
      <c r="G7" s="51">
        <v>2</v>
      </c>
      <c r="H7" s="51" t="s">
        <v>11</v>
      </c>
      <c r="I7" s="51"/>
      <c r="J7" s="128"/>
      <c r="K7" s="138"/>
    </row>
    <row r="8" spans="2:11" ht="19.95" customHeight="1" x14ac:dyDescent="0.3">
      <c r="B8" s="49">
        <v>6</v>
      </c>
      <c r="C8" s="50" t="s">
        <v>296</v>
      </c>
      <c r="D8" s="50">
        <v>126</v>
      </c>
      <c r="E8" s="50">
        <v>17</v>
      </c>
      <c r="F8" s="51">
        <v>143</v>
      </c>
      <c r="G8" s="51">
        <v>7</v>
      </c>
      <c r="H8" s="51" t="s">
        <v>11</v>
      </c>
      <c r="I8" s="51"/>
      <c r="J8" s="128"/>
      <c r="K8" s="138"/>
    </row>
    <row r="9" spans="2:11" ht="19.95" customHeight="1" thickBot="1" x14ac:dyDescent="0.35">
      <c r="B9" s="49">
        <v>7</v>
      </c>
      <c r="C9" s="50" t="s">
        <v>297</v>
      </c>
      <c r="D9" s="50">
        <v>39</v>
      </c>
      <c r="E9" s="50">
        <v>0</v>
      </c>
      <c r="F9" s="51">
        <v>39</v>
      </c>
      <c r="G9" s="51">
        <v>3</v>
      </c>
      <c r="H9" s="51" t="s">
        <v>11</v>
      </c>
      <c r="I9" s="51"/>
      <c r="J9" s="128"/>
      <c r="K9" s="138"/>
    </row>
    <row r="10" spans="2:11" ht="19.95" customHeight="1" x14ac:dyDescent="0.3">
      <c r="B10" s="49">
        <v>8</v>
      </c>
      <c r="C10" s="50" t="s">
        <v>298</v>
      </c>
      <c r="D10" s="50">
        <v>35</v>
      </c>
      <c r="E10" s="50">
        <v>3</v>
      </c>
      <c r="F10" s="51">
        <v>38</v>
      </c>
      <c r="G10" s="51">
        <v>2</v>
      </c>
      <c r="H10" s="51" t="s">
        <v>11</v>
      </c>
      <c r="I10" s="51"/>
      <c r="J10" s="129"/>
      <c r="K10" s="139"/>
    </row>
    <row r="11" spans="2:11" ht="19.95" customHeight="1" x14ac:dyDescent="0.3">
      <c r="B11" s="54">
        <v>9</v>
      </c>
      <c r="C11" s="55" t="s">
        <v>14</v>
      </c>
      <c r="D11" s="55">
        <v>30</v>
      </c>
      <c r="E11" s="55">
        <v>3</v>
      </c>
      <c r="F11" s="56">
        <v>33</v>
      </c>
      <c r="G11" s="56">
        <v>2</v>
      </c>
      <c r="H11" s="56" t="s">
        <v>11</v>
      </c>
      <c r="I11" s="56"/>
      <c r="J11" s="133">
        <v>46358</v>
      </c>
      <c r="K11" s="135">
        <f>SUM(F11:F34)+SUM(G11:G34)</f>
        <v>777</v>
      </c>
    </row>
    <row r="12" spans="2:11" ht="19.95" customHeight="1" x14ac:dyDescent="0.3">
      <c r="B12" s="54">
        <v>10</v>
      </c>
      <c r="C12" s="55" t="s">
        <v>16</v>
      </c>
      <c r="D12" s="55">
        <v>24</v>
      </c>
      <c r="E12" s="55">
        <v>2</v>
      </c>
      <c r="F12" s="56">
        <v>26</v>
      </c>
      <c r="G12" s="56">
        <v>2</v>
      </c>
      <c r="H12" s="56" t="s">
        <v>11</v>
      </c>
      <c r="I12" s="56"/>
      <c r="J12" s="151"/>
      <c r="K12" s="207"/>
    </row>
    <row r="13" spans="2:11" ht="19.95" customHeight="1" x14ac:dyDescent="0.3">
      <c r="B13" s="54">
        <v>11</v>
      </c>
      <c r="C13" s="55" t="s">
        <v>17</v>
      </c>
      <c r="D13" s="55">
        <v>20</v>
      </c>
      <c r="E13" s="55">
        <v>2</v>
      </c>
      <c r="F13" s="56">
        <v>22</v>
      </c>
      <c r="G13" s="56">
        <v>1</v>
      </c>
      <c r="H13" s="56" t="s">
        <v>11</v>
      </c>
      <c r="I13" s="56"/>
      <c r="J13" s="151"/>
      <c r="K13" s="207"/>
    </row>
    <row r="14" spans="2:11" ht="19.95" customHeight="1" x14ac:dyDescent="0.3">
      <c r="B14" s="54">
        <v>12</v>
      </c>
      <c r="C14" s="55" t="s">
        <v>18</v>
      </c>
      <c r="D14" s="55">
        <v>27</v>
      </c>
      <c r="E14" s="55">
        <v>0</v>
      </c>
      <c r="F14" s="56">
        <v>27</v>
      </c>
      <c r="G14" s="56">
        <v>1</v>
      </c>
      <c r="H14" s="56" t="s">
        <v>11</v>
      </c>
      <c r="I14" s="56"/>
      <c r="J14" s="151"/>
      <c r="K14" s="207"/>
    </row>
    <row r="15" spans="2:11" ht="19.95" customHeight="1" thickBot="1" x14ac:dyDescent="0.35">
      <c r="B15" s="54">
        <v>13</v>
      </c>
      <c r="C15" s="55" t="s">
        <v>19</v>
      </c>
      <c r="D15" s="55">
        <v>79</v>
      </c>
      <c r="E15" s="55">
        <v>0</v>
      </c>
      <c r="F15" s="56">
        <v>79</v>
      </c>
      <c r="G15" s="56">
        <v>4</v>
      </c>
      <c r="H15" s="56" t="s">
        <v>11</v>
      </c>
      <c r="I15" s="56"/>
      <c r="J15" s="151"/>
      <c r="K15" s="207"/>
    </row>
    <row r="16" spans="2:11" ht="19.95" customHeight="1" x14ac:dyDescent="0.3">
      <c r="B16" s="54">
        <v>14</v>
      </c>
      <c r="C16" s="55" t="s">
        <v>20</v>
      </c>
      <c r="D16" s="55">
        <v>24</v>
      </c>
      <c r="E16" s="55">
        <v>4</v>
      </c>
      <c r="F16" s="56">
        <v>28</v>
      </c>
      <c r="G16" s="56">
        <v>0</v>
      </c>
      <c r="H16" s="56" t="s">
        <v>11</v>
      </c>
      <c r="I16" s="56"/>
      <c r="J16" s="151"/>
      <c r="K16" s="207"/>
    </row>
    <row r="17" spans="2:11" ht="19.95" customHeight="1" x14ac:dyDescent="0.3">
      <c r="B17" s="54">
        <v>15</v>
      </c>
      <c r="C17" s="55" t="s">
        <v>21</v>
      </c>
      <c r="D17" s="55">
        <v>35</v>
      </c>
      <c r="E17" s="55">
        <v>7</v>
      </c>
      <c r="F17" s="56">
        <v>42</v>
      </c>
      <c r="G17" s="56">
        <v>3</v>
      </c>
      <c r="H17" s="56" t="s">
        <v>11</v>
      </c>
      <c r="I17" s="56"/>
      <c r="J17" s="151"/>
      <c r="K17" s="207"/>
    </row>
    <row r="18" spans="2:11" ht="19.95" customHeight="1" x14ac:dyDescent="0.3">
      <c r="B18" s="54">
        <v>16</v>
      </c>
      <c r="C18" s="55" t="s">
        <v>22</v>
      </c>
      <c r="D18" s="55">
        <v>24</v>
      </c>
      <c r="E18" s="55">
        <v>2</v>
      </c>
      <c r="F18" s="56">
        <v>26</v>
      </c>
      <c r="G18" s="56">
        <v>0</v>
      </c>
      <c r="H18" s="56" t="s">
        <v>23</v>
      </c>
      <c r="I18" s="56"/>
      <c r="J18" s="151"/>
      <c r="K18" s="207"/>
    </row>
    <row r="19" spans="2:11" ht="19.95" customHeight="1" x14ac:dyDescent="0.3">
      <c r="B19" s="54">
        <v>17</v>
      </c>
      <c r="C19" s="55" t="s">
        <v>24</v>
      </c>
      <c r="D19" s="55">
        <v>31</v>
      </c>
      <c r="E19" s="55">
        <v>7</v>
      </c>
      <c r="F19" s="56">
        <v>38</v>
      </c>
      <c r="G19" s="56">
        <v>0</v>
      </c>
      <c r="H19" s="56" t="s">
        <v>11</v>
      </c>
      <c r="I19" s="56"/>
      <c r="J19" s="151"/>
      <c r="K19" s="207"/>
    </row>
    <row r="20" spans="2:11" ht="19.95" customHeight="1" x14ac:dyDescent="0.3">
      <c r="B20" s="54">
        <v>18</v>
      </c>
      <c r="C20" s="55" t="s">
        <v>25</v>
      </c>
      <c r="D20" s="55">
        <v>29</v>
      </c>
      <c r="E20" s="55">
        <v>3</v>
      </c>
      <c r="F20" s="56">
        <v>32</v>
      </c>
      <c r="G20" s="56">
        <v>1</v>
      </c>
      <c r="H20" s="56" t="s">
        <v>11</v>
      </c>
      <c r="I20" s="56"/>
      <c r="J20" s="151"/>
      <c r="K20" s="207"/>
    </row>
    <row r="21" spans="2:11" ht="19.95" customHeight="1" x14ac:dyDescent="0.3">
      <c r="B21" s="54">
        <v>20</v>
      </c>
      <c r="C21" s="55" t="s">
        <v>26</v>
      </c>
      <c r="D21" s="55">
        <v>20</v>
      </c>
      <c r="E21" s="55">
        <v>0</v>
      </c>
      <c r="F21" s="56">
        <v>20</v>
      </c>
      <c r="G21" s="56">
        <v>1</v>
      </c>
      <c r="H21" s="56" t="s">
        <v>11</v>
      </c>
      <c r="I21" s="56"/>
      <c r="J21" s="151"/>
      <c r="K21" s="207"/>
    </row>
    <row r="22" spans="2:11" ht="19.95" customHeight="1" thickBot="1" x14ac:dyDescent="0.35">
      <c r="B22" s="54">
        <v>21</v>
      </c>
      <c r="C22" s="55" t="s">
        <v>27</v>
      </c>
      <c r="D22" s="55">
        <v>25</v>
      </c>
      <c r="E22" s="55">
        <v>0</v>
      </c>
      <c r="F22" s="56">
        <v>25</v>
      </c>
      <c r="G22" s="56">
        <v>2</v>
      </c>
      <c r="H22" s="56" t="s">
        <v>11</v>
      </c>
      <c r="I22" s="56"/>
      <c r="J22" s="151"/>
      <c r="K22" s="207"/>
    </row>
    <row r="23" spans="2:11" ht="21.6" customHeight="1" x14ac:dyDescent="0.3">
      <c r="B23" s="54">
        <v>22</v>
      </c>
      <c r="C23" s="55" t="s">
        <v>28</v>
      </c>
      <c r="D23" s="55">
        <v>75</v>
      </c>
      <c r="E23" s="55">
        <v>0</v>
      </c>
      <c r="F23" s="56">
        <v>75</v>
      </c>
      <c r="G23" s="56">
        <v>4</v>
      </c>
      <c r="H23" s="56" t="s">
        <v>11</v>
      </c>
      <c r="I23" s="56"/>
      <c r="J23" s="151"/>
      <c r="K23" s="207"/>
    </row>
    <row r="24" spans="2:11" ht="21.6" customHeight="1" x14ac:dyDescent="0.3">
      <c r="B24" s="54">
        <v>23</v>
      </c>
      <c r="C24" s="55" t="s">
        <v>29</v>
      </c>
      <c r="D24" s="55">
        <v>24</v>
      </c>
      <c r="E24" s="55">
        <v>2</v>
      </c>
      <c r="F24" s="56">
        <v>26</v>
      </c>
      <c r="G24" s="56">
        <v>0</v>
      </c>
      <c r="H24" s="56" t="s">
        <v>23</v>
      </c>
      <c r="I24" s="56"/>
      <c r="J24" s="151"/>
      <c r="K24" s="207"/>
    </row>
    <row r="25" spans="2:11" ht="21.6" customHeight="1" x14ac:dyDescent="0.3">
      <c r="B25" s="54">
        <v>24</v>
      </c>
      <c r="C25" s="55" t="s">
        <v>30</v>
      </c>
      <c r="D25" s="55">
        <v>27</v>
      </c>
      <c r="E25" s="55">
        <v>4</v>
      </c>
      <c r="F25" s="56">
        <v>31</v>
      </c>
      <c r="G25" s="56">
        <v>2</v>
      </c>
      <c r="H25" s="56" t="s">
        <v>23</v>
      </c>
      <c r="I25" s="56"/>
      <c r="J25" s="151"/>
      <c r="K25" s="207"/>
    </row>
    <row r="26" spans="2:11" ht="21.6" customHeight="1" x14ac:dyDescent="0.3">
      <c r="B26" s="54">
        <v>25</v>
      </c>
      <c r="C26" s="55" t="s">
        <v>31</v>
      </c>
      <c r="D26" s="55">
        <v>19</v>
      </c>
      <c r="E26" s="55">
        <v>4</v>
      </c>
      <c r="F26" s="56">
        <v>23</v>
      </c>
      <c r="G26" s="56">
        <v>1</v>
      </c>
      <c r="H26" s="56" t="s">
        <v>23</v>
      </c>
      <c r="I26" s="56"/>
      <c r="J26" s="151"/>
      <c r="K26" s="207"/>
    </row>
    <row r="27" spans="2:11" ht="21.6" customHeight="1" x14ac:dyDescent="0.3">
      <c r="B27" s="54">
        <v>26</v>
      </c>
      <c r="C27" s="55" t="s">
        <v>32</v>
      </c>
      <c r="D27" s="55">
        <v>9</v>
      </c>
      <c r="E27" s="55">
        <v>0</v>
      </c>
      <c r="F27" s="56">
        <v>9</v>
      </c>
      <c r="G27" s="56">
        <v>1</v>
      </c>
      <c r="H27" s="56" t="s">
        <v>13</v>
      </c>
      <c r="I27" s="56"/>
      <c r="J27" s="151"/>
      <c r="K27" s="207"/>
    </row>
    <row r="28" spans="2:11" ht="21.6" customHeight="1" x14ac:dyDescent="0.3">
      <c r="B28" s="54">
        <v>27</v>
      </c>
      <c r="C28" s="55" t="s">
        <v>33</v>
      </c>
      <c r="D28" s="55">
        <v>18</v>
      </c>
      <c r="E28" s="55">
        <v>4</v>
      </c>
      <c r="F28" s="56">
        <v>22</v>
      </c>
      <c r="G28" s="56">
        <v>2</v>
      </c>
      <c r="H28" s="56" t="s">
        <v>23</v>
      </c>
      <c r="I28" s="56"/>
      <c r="J28" s="151"/>
      <c r="K28" s="207"/>
    </row>
    <row r="29" spans="2:11" ht="21.6" customHeight="1" x14ac:dyDescent="0.3">
      <c r="B29" s="54">
        <v>28</v>
      </c>
      <c r="C29" s="55" t="s">
        <v>34</v>
      </c>
      <c r="D29" s="55">
        <v>23</v>
      </c>
      <c r="E29" s="55">
        <v>4</v>
      </c>
      <c r="F29" s="56">
        <v>27</v>
      </c>
      <c r="G29" s="56">
        <v>0</v>
      </c>
      <c r="H29" s="56" t="s">
        <v>35</v>
      </c>
      <c r="I29" s="56"/>
      <c r="J29" s="151"/>
      <c r="K29" s="207"/>
    </row>
    <row r="30" spans="2:11" ht="21.6" customHeight="1" thickBot="1" x14ac:dyDescent="0.35">
      <c r="B30" s="54">
        <v>29</v>
      </c>
      <c r="C30" s="55" t="s">
        <v>36</v>
      </c>
      <c r="D30" s="55">
        <v>46</v>
      </c>
      <c r="E30" s="55">
        <v>0</v>
      </c>
      <c r="F30" s="56">
        <v>46</v>
      </c>
      <c r="G30" s="56">
        <v>2</v>
      </c>
      <c r="H30" s="56" t="s">
        <v>37</v>
      </c>
      <c r="I30" s="56"/>
      <c r="J30" s="151"/>
      <c r="K30" s="207"/>
    </row>
    <row r="31" spans="2:11" ht="21.6" customHeight="1" x14ac:dyDescent="0.3">
      <c r="B31" s="54">
        <v>30</v>
      </c>
      <c r="C31" s="55" t="s">
        <v>38</v>
      </c>
      <c r="D31" s="55">
        <v>18</v>
      </c>
      <c r="E31" s="55">
        <v>4</v>
      </c>
      <c r="F31" s="56">
        <v>22</v>
      </c>
      <c r="G31" s="56">
        <v>0</v>
      </c>
      <c r="H31" s="56" t="s">
        <v>35</v>
      </c>
      <c r="I31" s="56"/>
      <c r="J31" s="151"/>
      <c r="K31" s="207"/>
    </row>
    <row r="32" spans="2:11" ht="21.6" customHeight="1" x14ac:dyDescent="0.3">
      <c r="B32" s="54">
        <v>31</v>
      </c>
      <c r="C32" s="55" t="s">
        <v>39</v>
      </c>
      <c r="D32" s="55">
        <v>22</v>
      </c>
      <c r="E32" s="55">
        <v>0</v>
      </c>
      <c r="F32" s="56">
        <v>22</v>
      </c>
      <c r="G32" s="56">
        <v>1</v>
      </c>
      <c r="H32" s="56" t="s">
        <v>35</v>
      </c>
      <c r="I32" s="56"/>
      <c r="J32" s="151"/>
      <c r="K32" s="207"/>
    </row>
    <row r="33" spans="2:11" ht="21.6" customHeight="1" x14ac:dyDescent="0.3">
      <c r="B33" s="54">
        <v>32</v>
      </c>
      <c r="C33" s="55" t="s">
        <v>40</v>
      </c>
      <c r="D33" s="55">
        <v>24</v>
      </c>
      <c r="E33" s="55">
        <v>0</v>
      </c>
      <c r="F33" s="56">
        <v>24</v>
      </c>
      <c r="G33" s="56">
        <v>1</v>
      </c>
      <c r="H33" s="56" t="s">
        <v>35</v>
      </c>
      <c r="I33" s="56"/>
      <c r="J33" s="151"/>
      <c r="K33" s="207"/>
    </row>
    <row r="34" spans="2:11" ht="21.6" customHeight="1" x14ac:dyDescent="0.3">
      <c r="B34" s="54">
        <v>33</v>
      </c>
      <c r="C34" s="55" t="s">
        <v>41</v>
      </c>
      <c r="D34" s="55">
        <v>20</v>
      </c>
      <c r="E34" s="55">
        <v>0</v>
      </c>
      <c r="F34" s="56">
        <v>20</v>
      </c>
      <c r="G34" s="56">
        <v>1</v>
      </c>
      <c r="H34" s="56" t="s">
        <v>35</v>
      </c>
      <c r="I34" s="56"/>
      <c r="J34" s="134"/>
      <c r="K34" s="136"/>
    </row>
    <row r="35" spans="2:11" ht="21.6" customHeight="1" x14ac:dyDescent="0.3">
      <c r="B35" s="59">
        <v>34</v>
      </c>
      <c r="C35" s="60" t="s">
        <v>12</v>
      </c>
      <c r="D35" s="60">
        <v>25</v>
      </c>
      <c r="E35" s="60">
        <v>6</v>
      </c>
      <c r="F35" s="61">
        <v>31</v>
      </c>
      <c r="G35" s="61">
        <v>1</v>
      </c>
      <c r="H35" s="61" t="s">
        <v>13</v>
      </c>
      <c r="I35" s="61"/>
      <c r="J35" s="62">
        <v>46360</v>
      </c>
      <c r="K35" s="63">
        <f>F35+G35</f>
        <v>32</v>
      </c>
    </row>
    <row r="36" spans="2:11" ht="21.6" customHeight="1" x14ac:dyDescent="0.3">
      <c r="B36" s="64">
        <v>35</v>
      </c>
      <c r="C36" s="65" t="s">
        <v>44</v>
      </c>
      <c r="D36" s="65">
        <v>26</v>
      </c>
      <c r="E36" s="65">
        <v>2</v>
      </c>
      <c r="F36" s="66">
        <v>28</v>
      </c>
      <c r="G36" s="66">
        <v>0</v>
      </c>
      <c r="H36" s="66" t="s">
        <v>11</v>
      </c>
      <c r="I36" s="66"/>
      <c r="J36" s="113">
        <v>46365</v>
      </c>
      <c r="K36" s="116">
        <f>SUM(F36:F70)+SUM(G36:G70)</f>
        <v>1087</v>
      </c>
    </row>
    <row r="37" spans="2:11" ht="21.6" customHeight="1" x14ac:dyDescent="0.3">
      <c r="B37" s="64">
        <v>36</v>
      </c>
      <c r="C37" s="65" t="s">
        <v>46</v>
      </c>
      <c r="D37" s="65">
        <v>35</v>
      </c>
      <c r="E37" s="65">
        <v>0</v>
      </c>
      <c r="F37" s="66">
        <v>35</v>
      </c>
      <c r="G37" s="66">
        <v>2</v>
      </c>
      <c r="H37" s="66" t="s">
        <v>11</v>
      </c>
      <c r="I37" s="66"/>
      <c r="J37" s="114"/>
      <c r="K37" s="117"/>
    </row>
    <row r="38" spans="2:11" ht="21.6" customHeight="1" x14ac:dyDescent="0.3">
      <c r="B38" s="64">
        <v>37</v>
      </c>
      <c r="C38" s="65" t="s">
        <v>47</v>
      </c>
      <c r="D38" s="65">
        <v>28</v>
      </c>
      <c r="E38" s="65">
        <v>2</v>
      </c>
      <c r="F38" s="66">
        <v>30</v>
      </c>
      <c r="G38" s="66">
        <v>2</v>
      </c>
      <c r="H38" s="66" t="s">
        <v>11</v>
      </c>
      <c r="I38" s="66"/>
      <c r="J38" s="114"/>
      <c r="K38" s="117"/>
    </row>
    <row r="39" spans="2:11" ht="21.6" customHeight="1" x14ac:dyDescent="0.3">
      <c r="B39" s="64">
        <v>38</v>
      </c>
      <c r="C39" s="65" t="s">
        <v>48</v>
      </c>
      <c r="D39" s="65">
        <v>39</v>
      </c>
      <c r="E39" s="65">
        <v>4</v>
      </c>
      <c r="F39" s="66">
        <v>43</v>
      </c>
      <c r="G39" s="66">
        <v>3</v>
      </c>
      <c r="H39" s="66" t="s">
        <v>13</v>
      </c>
      <c r="I39" s="66"/>
      <c r="J39" s="114"/>
      <c r="K39" s="117"/>
    </row>
    <row r="40" spans="2:11" ht="21.6" customHeight="1" x14ac:dyDescent="0.3">
      <c r="B40" s="64">
        <v>39</v>
      </c>
      <c r="C40" s="65" t="s">
        <v>49</v>
      </c>
      <c r="D40" s="65">
        <v>25</v>
      </c>
      <c r="E40" s="65">
        <v>5</v>
      </c>
      <c r="F40" s="66">
        <v>30</v>
      </c>
      <c r="G40" s="66">
        <v>0</v>
      </c>
      <c r="H40" s="66" t="s">
        <v>11</v>
      </c>
      <c r="I40" s="66"/>
      <c r="J40" s="114"/>
      <c r="K40" s="117"/>
    </row>
    <row r="41" spans="2:11" ht="21.6" customHeight="1" thickBot="1" x14ac:dyDescent="0.35">
      <c r="B41" s="64">
        <v>40</v>
      </c>
      <c r="C41" s="65" t="s">
        <v>42</v>
      </c>
      <c r="D41" s="65">
        <v>34</v>
      </c>
      <c r="E41" s="65">
        <v>3</v>
      </c>
      <c r="F41" s="66">
        <v>37</v>
      </c>
      <c r="G41" s="66">
        <v>1</v>
      </c>
      <c r="H41" s="66" t="s">
        <v>23</v>
      </c>
      <c r="I41" s="66"/>
      <c r="J41" s="114"/>
      <c r="K41" s="117"/>
    </row>
    <row r="42" spans="2:11" ht="21.6" customHeight="1" x14ac:dyDescent="0.3">
      <c r="B42" s="64">
        <v>41</v>
      </c>
      <c r="C42" s="65" t="s">
        <v>50</v>
      </c>
      <c r="D42" s="65">
        <v>30</v>
      </c>
      <c r="E42" s="65">
        <v>5</v>
      </c>
      <c r="F42" s="66">
        <v>35</v>
      </c>
      <c r="G42" s="66">
        <v>0</v>
      </c>
      <c r="H42" s="66" t="s">
        <v>11</v>
      </c>
      <c r="I42" s="66"/>
      <c r="J42" s="114"/>
      <c r="K42" s="117"/>
    </row>
    <row r="43" spans="2:11" ht="21.6" customHeight="1" x14ac:dyDescent="0.3">
      <c r="B43" s="64">
        <v>42</v>
      </c>
      <c r="C43" s="65" t="s">
        <v>43</v>
      </c>
      <c r="D43" s="65">
        <v>29</v>
      </c>
      <c r="E43" s="65">
        <v>3</v>
      </c>
      <c r="F43" s="66">
        <v>32</v>
      </c>
      <c r="G43" s="66">
        <v>1</v>
      </c>
      <c r="H43" s="66" t="s">
        <v>23</v>
      </c>
      <c r="I43" s="66"/>
      <c r="J43" s="114"/>
      <c r="K43" s="117"/>
    </row>
    <row r="44" spans="2:11" ht="21.6" customHeight="1" x14ac:dyDescent="0.3">
      <c r="B44" s="64">
        <v>43</v>
      </c>
      <c r="C44" s="65" t="s">
        <v>51</v>
      </c>
      <c r="D44" s="65">
        <v>27</v>
      </c>
      <c r="E44" s="65">
        <v>2</v>
      </c>
      <c r="F44" s="66">
        <v>29</v>
      </c>
      <c r="G44" s="66">
        <v>1</v>
      </c>
      <c r="H44" s="66" t="s">
        <v>11</v>
      </c>
      <c r="I44" s="66"/>
      <c r="J44" s="114"/>
      <c r="K44" s="117"/>
    </row>
    <row r="45" spans="2:11" ht="21.6" customHeight="1" x14ac:dyDescent="0.3">
      <c r="B45" s="64">
        <v>44</v>
      </c>
      <c r="C45" s="65" t="s">
        <v>52</v>
      </c>
      <c r="D45" s="65">
        <v>25</v>
      </c>
      <c r="E45" s="65">
        <v>4</v>
      </c>
      <c r="F45" s="66">
        <v>29</v>
      </c>
      <c r="G45" s="66">
        <v>0</v>
      </c>
      <c r="H45" s="66" t="s">
        <v>11</v>
      </c>
      <c r="I45" s="66"/>
      <c r="J45" s="114"/>
      <c r="K45" s="117"/>
    </row>
    <row r="46" spans="2:11" ht="21.6" customHeight="1" x14ac:dyDescent="0.3">
      <c r="B46" s="64">
        <v>45</v>
      </c>
      <c r="C46" s="65" t="s">
        <v>53</v>
      </c>
      <c r="D46" s="65">
        <v>26</v>
      </c>
      <c r="E46" s="65">
        <v>0</v>
      </c>
      <c r="F46" s="66">
        <v>26</v>
      </c>
      <c r="G46" s="66">
        <v>2</v>
      </c>
      <c r="H46" s="66" t="s">
        <v>11</v>
      </c>
      <c r="I46" s="66"/>
      <c r="J46" s="114"/>
      <c r="K46" s="117"/>
    </row>
    <row r="47" spans="2:11" ht="21.6" customHeight="1" x14ac:dyDescent="0.3">
      <c r="B47" s="64">
        <v>46</v>
      </c>
      <c r="C47" s="65" t="s">
        <v>54</v>
      </c>
      <c r="D47" s="65">
        <v>23</v>
      </c>
      <c r="E47" s="65">
        <v>8</v>
      </c>
      <c r="F47" s="66">
        <v>31</v>
      </c>
      <c r="G47" s="66">
        <v>2</v>
      </c>
      <c r="H47" s="66" t="s">
        <v>11</v>
      </c>
      <c r="I47" s="66"/>
      <c r="J47" s="114"/>
      <c r="K47" s="117"/>
    </row>
    <row r="48" spans="2:11" ht="21.6" customHeight="1" thickBot="1" x14ac:dyDescent="0.35">
      <c r="B48" s="64">
        <v>47</v>
      </c>
      <c r="C48" s="65" t="s">
        <v>55</v>
      </c>
      <c r="D48" s="65">
        <v>25</v>
      </c>
      <c r="E48" s="65">
        <v>3</v>
      </c>
      <c r="F48" s="66">
        <v>28</v>
      </c>
      <c r="G48" s="66">
        <v>0</v>
      </c>
      <c r="H48" s="66" t="s">
        <v>11</v>
      </c>
      <c r="I48" s="66"/>
      <c r="J48" s="114"/>
      <c r="K48" s="117"/>
    </row>
    <row r="49" spans="2:11" ht="21" customHeight="1" x14ac:dyDescent="0.3">
      <c r="B49" s="64">
        <v>48</v>
      </c>
      <c r="C49" s="65" t="s">
        <v>56</v>
      </c>
      <c r="D49" s="65">
        <v>35</v>
      </c>
      <c r="E49" s="65">
        <v>3</v>
      </c>
      <c r="F49" s="66">
        <v>38</v>
      </c>
      <c r="G49" s="66">
        <v>2</v>
      </c>
      <c r="H49" s="66" t="s">
        <v>11</v>
      </c>
      <c r="I49" s="66"/>
      <c r="J49" s="114"/>
      <c r="K49" s="117"/>
    </row>
    <row r="50" spans="2:11" ht="21" customHeight="1" x14ac:dyDescent="0.3">
      <c r="B50" s="64">
        <v>49</v>
      </c>
      <c r="C50" s="65" t="s">
        <v>57</v>
      </c>
      <c r="D50" s="65">
        <v>15</v>
      </c>
      <c r="E50" s="65">
        <v>3</v>
      </c>
      <c r="F50" s="66">
        <v>18</v>
      </c>
      <c r="G50" s="66">
        <v>1</v>
      </c>
      <c r="H50" s="66" t="s">
        <v>11</v>
      </c>
      <c r="I50" s="66"/>
      <c r="J50" s="114"/>
      <c r="K50" s="117"/>
    </row>
    <row r="51" spans="2:11" ht="21" customHeight="1" x14ac:dyDescent="0.3">
      <c r="B51" s="64">
        <v>50</v>
      </c>
      <c r="C51" s="65" t="s">
        <v>58</v>
      </c>
      <c r="D51" s="65">
        <v>39</v>
      </c>
      <c r="E51" s="65">
        <v>4</v>
      </c>
      <c r="F51" s="66">
        <v>43</v>
      </c>
      <c r="G51" s="66">
        <v>0</v>
      </c>
      <c r="H51" s="66" t="s">
        <v>11</v>
      </c>
      <c r="I51" s="66"/>
      <c r="J51" s="114"/>
      <c r="K51" s="117"/>
    </row>
    <row r="52" spans="2:11" ht="21" customHeight="1" x14ac:dyDescent="0.3">
      <c r="B52" s="64">
        <v>51</v>
      </c>
      <c r="C52" s="65" t="s">
        <v>59</v>
      </c>
      <c r="D52" s="65">
        <v>23</v>
      </c>
      <c r="E52" s="65">
        <v>1</v>
      </c>
      <c r="F52" s="66">
        <v>24</v>
      </c>
      <c r="G52" s="66">
        <v>1</v>
      </c>
      <c r="H52" s="66" t="s">
        <v>11</v>
      </c>
      <c r="I52" s="66"/>
      <c r="J52" s="114"/>
      <c r="K52" s="117"/>
    </row>
    <row r="53" spans="2:11" ht="21" customHeight="1" thickBot="1" x14ac:dyDescent="0.35">
      <c r="B53" s="64">
        <v>52</v>
      </c>
      <c r="C53" s="65" t="s">
        <v>60</v>
      </c>
      <c r="D53" s="65">
        <v>23</v>
      </c>
      <c r="E53" s="65">
        <v>3</v>
      </c>
      <c r="F53" s="66">
        <v>26</v>
      </c>
      <c r="G53" s="66">
        <v>1</v>
      </c>
      <c r="H53" s="66" t="s">
        <v>11</v>
      </c>
      <c r="I53" s="66"/>
      <c r="J53" s="114"/>
      <c r="K53" s="117"/>
    </row>
    <row r="54" spans="2:11" ht="21" customHeight="1" x14ac:dyDescent="0.3">
      <c r="B54" s="64">
        <v>53</v>
      </c>
      <c r="C54" s="65" t="s">
        <v>61</v>
      </c>
      <c r="D54" s="65">
        <v>28</v>
      </c>
      <c r="E54" s="65">
        <v>2</v>
      </c>
      <c r="F54" s="66">
        <v>30</v>
      </c>
      <c r="G54" s="66">
        <v>2</v>
      </c>
      <c r="H54" s="66" t="s">
        <v>11</v>
      </c>
      <c r="I54" s="66"/>
      <c r="J54" s="114"/>
      <c r="K54" s="117"/>
    </row>
    <row r="55" spans="2:11" ht="21" customHeight="1" x14ac:dyDescent="0.3">
      <c r="B55" s="64">
        <v>54</v>
      </c>
      <c r="C55" s="65" t="s">
        <v>62</v>
      </c>
      <c r="D55" s="65">
        <v>10</v>
      </c>
      <c r="E55" s="65">
        <v>1</v>
      </c>
      <c r="F55" s="66">
        <v>11</v>
      </c>
      <c r="G55" s="66">
        <v>1</v>
      </c>
      <c r="H55" s="66" t="s">
        <v>11</v>
      </c>
      <c r="I55" s="66"/>
      <c r="J55" s="114"/>
      <c r="K55" s="117"/>
    </row>
    <row r="56" spans="2:11" ht="21" customHeight="1" x14ac:dyDescent="0.3">
      <c r="B56" s="64">
        <v>56</v>
      </c>
      <c r="C56" s="65" t="s">
        <v>63</v>
      </c>
      <c r="D56" s="65">
        <v>21</v>
      </c>
      <c r="E56" s="65">
        <v>0</v>
      </c>
      <c r="F56" s="66">
        <v>21</v>
      </c>
      <c r="G56" s="66">
        <v>1</v>
      </c>
      <c r="H56" s="66" t="s">
        <v>11</v>
      </c>
      <c r="I56" s="66"/>
      <c r="J56" s="114"/>
      <c r="K56" s="117"/>
    </row>
    <row r="57" spans="2:11" ht="21" customHeight="1" x14ac:dyDescent="0.3">
      <c r="B57" s="64">
        <v>57</v>
      </c>
      <c r="C57" s="65" t="s">
        <v>64</v>
      </c>
      <c r="D57" s="65">
        <v>27</v>
      </c>
      <c r="E57" s="65">
        <v>3</v>
      </c>
      <c r="F57" s="66">
        <v>30</v>
      </c>
      <c r="G57" s="66">
        <v>2</v>
      </c>
      <c r="H57" s="66" t="s">
        <v>23</v>
      </c>
      <c r="I57" s="66"/>
      <c r="J57" s="114"/>
      <c r="K57" s="117"/>
    </row>
    <row r="58" spans="2:11" ht="21" customHeight="1" x14ac:dyDescent="0.3">
      <c r="B58" s="64">
        <v>58</v>
      </c>
      <c r="C58" s="65" t="s">
        <v>65</v>
      </c>
      <c r="D58" s="65">
        <v>35</v>
      </c>
      <c r="E58" s="65">
        <v>4</v>
      </c>
      <c r="F58" s="66">
        <v>39</v>
      </c>
      <c r="G58" s="66">
        <v>2</v>
      </c>
      <c r="H58" s="66" t="s">
        <v>23</v>
      </c>
      <c r="I58" s="66"/>
      <c r="J58" s="114"/>
      <c r="K58" s="117"/>
    </row>
    <row r="59" spans="2:11" ht="21" customHeight="1" x14ac:dyDescent="0.3">
      <c r="B59" s="64">
        <v>59</v>
      </c>
      <c r="C59" s="65" t="s">
        <v>66</v>
      </c>
      <c r="D59" s="65">
        <v>35</v>
      </c>
      <c r="E59" s="65">
        <v>2</v>
      </c>
      <c r="F59" s="66">
        <v>37</v>
      </c>
      <c r="G59" s="66">
        <v>0</v>
      </c>
      <c r="H59" s="66" t="s">
        <v>35</v>
      </c>
      <c r="I59" s="66"/>
      <c r="J59" s="114"/>
      <c r="K59" s="117"/>
    </row>
    <row r="60" spans="2:11" ht="21" customHeight="1" x14ac:dyDescent="0.3">
      <c r="B60" s="64">
        <v>60</v>
      </c>
      <c r="C60" s="65" t="s">
        <v>67</v>
      </c>
      <c r="D60" s="65">
        <v>30</v>
      </c>
      <c r="E60" s="65">
        <v>4</v>
      </c>
      <c r="F60" s="66">
        <v>34</v>
      </c>
      <c r="G60" s="66">
        <v>2</v>
      </c>
      <c r="H60" s="66" t="s">
        <v>23</v>
      </c>
      <c r="I60" s="66"/>
      <c r="J60" s="114"/>
      <c r="K60" s="117"/>
    </row>
    <row r="61" spans="2:11" ht="21" customHeight="1" thickBot="1" x14ac:dyDescent="0.35">
      <c r="B61" s="64">
        <v>61</v>
      </c>
      <c r="C61" s="65" t="s">
        <v>68</v>
      </c>
      <c r="D61" s="65">
        <v>26</v>
      </c>
      <c r="E61" s="65">
        <v>4</v>
      </c>
      <c r="F61" s="66">
        <v>30</v>
      </c>
      <c r="G61" s="66">
        <v>1</v>
      </c>
      <c r="H61" s="66" t="s">
        <v>35</v>
      </c>
      <c r="I61" s="66"/>
      <c r="J61" s="114"/>
      <c r="K61" s="117"/>
    </row>
    <row r="62" spans="2:11" ht="21" customHeight="1" x14ac:dyDescent="0.3">
      <c r="B62" s="64">
        <v>62</v>
      </c>
      <c r="C62" s="65" t="s">
        <v>69</v>
      </c>
      <c r="D62" s="65">
        <v>28</v>
      </c>
      <c r="E62" s="65">
        <v>0</v>
      </c>
      <c r="F62" s="66">
        <v>28</v>
      </c>
      <c r="G62" s="66">
        <v>2</v>
      </c>
      <c r="H62" s="66" t="s">
        <v>35</v>
      </c>
      <c r="I62" s="66"/>
      <c r="J62" s="114"/>
      <c r="K62" s="117"/>
    </row>
    <row r="63" spans="2:11" ht="21" customHeight="1" x14ac:dyDescent="0.3">
      <c r="B63" s="64">
        <v>63</v>
      </c>
      <c r="C63" s="65" t="s">
        <v>70</v>
      </c>
      <c r="D63" s="65">
        <v>26</v>
      </c>
      <c r="E63" s="65">
        <v>3</v>
      </c>
      <c r="F63" s="66">
        <v>29</v>
      </c>
      <c r="G63" s="66">
        <v>2</v>
      </c>
      <c r="H63" s="66" t="s">
        <v>35</v>
      </c>
      <c r="I63" s="66"/>
      <c r="J63" s="114"/>
      <c r="K63" s="117"/>
    </row>
    <row r="64" spans="2:11" ht="21" customHeight="1" x14ac:dyDescent="0.3">
      <c r="B64" s="64">
        <v>64</v>
      </c>
      <c r="C64" s="65" t="s">
        <v>71</v>
      </c>
      <c r="D64" s="65">
        <v>22</v>
      </c>
      <c r="E64" s="65">
        <v>1</v>
      </c>
      <c r="F64" s="66">
        <v>23</v>
      </c>
      <c r="G64" s="66">
        <v>1</v>
      </c>
      <c r="H64" s="66" t="s">
        <v>23</v>
      </c>
      <c r="I64" s="66"/>
      <c r="J64" s="114"/>
      <c r="K64" s="117"/>
    </row>
    <row r="65" spans="2:11" ht="21" customHeight="1" x14ac:dyDescent="0.3">
      <c r="B65" s="64">
        <v>65</v>
      </c>
      <c r="C65" s="65" t="s">
        <v>72</v>
      </c>
      <c r="D65" s="65">
        <v>26</v>
      </c>
      <c r="E65" s="65">
        <v>2</v>
      </c>
      <c r="F65" s="66">
        <v>28</v>
      </c>
      <c r="G65" s="66">
        <v>1</v>
      </c>
      <c r="H65" s="66" t="s">
        <v>23</v>
      </c>
      <c r="I65" s="66"/>
      <c r="J65" s="114"/>
      <c r="K65" s="117"/>
    </row>
    <row r="66" spans="2:11" ht="21" customHeight="1" x14ac:dyDescent="0.3">
      <c r="B66" s="64">
        <v>66</v>
      </c>
      <c r="C66" s="65" t="s">
        <v>73</v>
      </c>
      <c r="D66" s="65">
        <v>32</v>
      </c>
      <c r="E66" s="65">
        <v>4</v>
      </c>
      <c r="F66" s="66">
        <v>36</v>
      </c>
      <c r="G66" s="66">
        <v>2</v>
      </c>
      <c r="H66" s="66" t="s">
        <v>23</v>
      </c>
      <c r="I66" s="66"/>
      <c r="J66" s="114"/>
      <c r="K66" s="117"/>
    </row>
    <row r="67" spans="2:11" ht="21" customHeight="1" x14ac:dyDescent="0.3">
      <c r="B67" s="64">
        <v>67</v>
      </c>
      <c r="C67" s="65" t="s">
        <v>74</v>
      </c>
      <c r="D67" s="65">
        <v>19</v>
      </c>
      <c r="E67" s="65">
        <v>3</v>
      </c>
      <c r="F67" s="66">
        <v>22</v>
      </c>
      <c r="G67" s="66">
        <v>0</v>
      </c>
      <c r="H67" s="66" t="s">
        <v>23</v>
      </c>
      <c r="I67" s="66"/>
      <c r="J67" s="114"/>
      <c r="K67" s="117"/>
    </row>
    <row r="68" spans="2:11" ht="21" customHeight="1" x14ac:dyDescent="0.3">
      <c r="B68" s="64">
        <v>68</v>
      </c>
      <c r="C68" s="65" t="s">
        <v>75</v>
      </c>
      <c r="D68" s="65">
        <v>26</v>
      </c>
      <c r="E68" s="65">
        <v>4</v>
      </c>
      <c r="F68" s="66">
        <v>30</v>
      </c>
      <c r="G68" s="66">
        <v>0</v>
      </c>
      <c r="H68" s="66" t="s">
        <v>13</v>
      </c>
      <c r="I68" s="66"/>
      <c r="J68" s="114"/>
      <c r="K68" s="117"/>
    </row>
    <row r="69" spans="2:11" ht="21" customHeight="1" x14ac:dyDescent="0.3">
      <c r="B69" s="64">
        <v>69</v>
      </c>
      <c r="C69" s="65" t="s">
        <v>76</v>
      </c>
      <c r="D69" s="65">
        <v>27</v>
      </c>
      <c r="E69" s="65">
        <v>1</v>
      </c>
      <c r="F69" s="66">
        <v>28</v>
      </c>
      <c r="G69" s="66">
        <v>2</v>
      </c>
      <c r="H69" s="66" t="s">
        <v>35</v>
      </c>
      <c r="I69" s="66"/>
      <c r="J69" s="114"/>
      <c r="K69" s="117"/>
    </row>
    <row r="70" spans="2:11" ht="21" customHeight="1" thickBot="1" x14ac:dyDescent="0.35">
      <c r="B70" s="64">
        <v>82</v>
      </c>
      <c r="C70" s="65" t="s">
        <v>77</v>
      </c>
      <c r="D70" s="65">
        <v>26</v>
      </c>
      <c r="E70" s="65">
        <v>3</v>
      </c>
      <c r="F70" s="66">
        <v>29</v>
      </c>
      <c r="G70" s="66">
        <v>0</v>
      </c>
      <c r="H70" s="66" t="s">
        <v>11</v>
      </c>
      <c r="I70" s="66"/>
      <c r="J70" s="115"/>
      <c r="K70" s="118"/>
    </row>
    <row r="71" spans="2:11" ht="22.95" customHeight="1" thickBot="1" x14ac:dyDescent="0.35">
      <c r="B71" s="39">
        <v>19</v>
      </c>
      <c r="C71" s="40" t="s">
        <v>78</v>
      </c>
      <c r="D71" s="40">
        <v>33</v>
      </c>
      <c r="E71" s="40">
        <v>0</v>
      </c>
      <c r="F71" s="41">
        <v>33</v>
      </c>
      <c r="G71" s="41">
        <v>0</v>
      </c>
      <c r="H71" s="41" t="s">
        <v>11</v>
      </c>
      <c r="I71" s="41"/>
      <c r="J71" s="205">
        <v>46372</v>
      </c>
      <c r="K71" s="202">
        <f>SUM(F71:F98)+SUM(G71:G98)</f>
        <v>894</v>
      </c>
    </row>
    <row r="72" spans="2:11" ht="19.2" customHeight="1" x14ac:dyDescent="0.3">
      <c r="B72" s="39">
        <v>55</v>
      </c>
      <c r="C72" s="40" t="s">
        <v>80</v>
      </c>
      <c r="D72" s="40">
        <v>26</v>
      </c>
      <c r="E72" s="40">
        <v>3</v>
      </c>
      <c r="F72" s="41">
        <v>29</v>
      </c>
      <c r="G72" s="41">
        <v>2</v>
      </c>
      <c r="H72" s="41" t="s">
        <v>13</v>
      </c>
      <c r="I72" s="41"/>
      <c r="J72" s="144"/>
      <c r="K72" s="203"/>
    </row>
    <row r="73" spans="2:11" ht="19.2" customHeight="1" x14ac:dyDescent="0.3">
      <c r="B73" s="39">
        <v>70</v>
      </c>
      <c r="C73" s="40" t="s">
        <v>81</v>
      </c>
      <c r="D73" s="40">
        <v>27</v>
      </c>
      <c r="E73" s="40">
        <v>3</v>
      </c>
      <c r="F73" s="41">
        <v>30</v>
      </c>
      <c r="G73" s="41">
        <v>2</v>
      </c>
      <c r="H73" s="41" t="s">
        <v>11</v>
      </c>
      <c r="I73" s="41"/>
      <c r="J73" s="144"/>
      <c r="K73" s="203"/>
    </row>
    <row r="74" spans="2:11" ht="26.4" x14ac:dyDescent="0.3">
      <c r="B74" s="39">
        <v>71</v>
      </c>
      <c r="C74" s="40" t="s">
        <v>82</v>
      </c>
      <c r="D74" s="40">
        <v>26</v>
      </c>
      <c r="E74" s="40">
        <v>8</v>
      </c>
      <c r="F74" s="41">
        <v>34</v>
      </c>
      <c r="G74" s="41">
        <v>1</v>
      </c>
      <c r="H74" s="41" t="s">
        <v>11</v>
      </c>
      <c r="I74" s="41"/>
      <c r="J74" s="144"/>
      <c r="K74" s="203"/>
    </row>
    <row r="75" spans="2:11" x14ac:dyDescent="0.3">
      <c r="B75" s="39">
        <v>72</v>
      </c>
      <c r="C75" s="40" t="s">
        <v>83</v>
      </c>
      <c r="D75" s="40">
        <v>15</v>
      </c>
      <c r="E75" s="40">
        <v>1</v>
      </c>
      <c r="F75" s="41">
        <v>16</v>
      </c>
      <c r="G75" s="41">
        <v>1</v>
      </c>
      <c r="H75" s="41" t="s">
        <v>13</v>
      </c>
      <c r="I75" s="41"/>
      <c r="J75" s="144"/>
      <c r="K75" s="203"/>
    </row>
    <row r="76" spans="2:11" ht="26.4" x14ac:dyDescent="0.3">
      <c r="B76" s="39">
        <v>73</v>
      </c>
      <c r="C76" s="40" t="s">
        <v>84</v>
      </c>
      <c r="D76" s="40">
        <v>36</v>
      </c>
      <c r="E76" s="40">
        <v>0</v>
      </c>
      <c r="F76" s="41">
        <v>36</v>
      </c>
      <c r="G76" s="41">
        <v>2</v>
      </c>
      <c r="H76" s="41" t="s">
        <v>11</v>
      </c>
      <c r="I76" s="41"/>
      <c r="J76" s="144"/>
      <c r="K76" s="203"/>
    </row>
    <row r="77" spans="2:11" ht="26.4" x14ac:dyDescent="0.3">
      <c r="B77" s="39">
        <v>74</v>
      </c>
      <c r="C77" s="40" t="s">
        <v>85</v>
      </c>
      <c r="D77" s="40">
        <v>19</v>
      </c>
      <c r="E77" s="40">
        <v>3</v>
      </c>
      <c r="F77" s="41">
        <v>22</v>
      </c>
      <c r="G77" s="41">
        <v>0</v>
      </c>
      <c r="H77" s="41" t="s">
        <v>11</v>
      </c>
      <c r="I77" s="41"/>
      <c r="J77" s="144"/>
      <c r="K77" s="203"/>
    </row>
    <row r="78" spans="2:11" ht="26.4" x14ac:dyDescent="0.3">
      <c r="B78" s="39">
        <v>75</v>
      </c>
      <c r="C78" s="40" t="s">
        <v>86</v>
      </c>
      <c r="D78" s="40">
        <v>37</v>
      </c>
      <c r="E78" s="40">
        <v>9</v>
      </c>
      <c r="F78" s="41">
        <v>46</v>
      </c>
      <c r="G78" s="41">
        <v>0</v>
      </c>
      <c r="H78" s="41" t="s">
        <v>11</v>
      </c>
      <c r="I78" s="41"/>
      <c r="J78" s="144"/>
      <c r="K78" s="203"/>
    </row>
    <row r="79" spans="2:11" ht="26.4" x14ac:dyDescent="0.3">
      <c r="B79" s="39">
        <v>76</v>
      </c>
      <c r="C79" s="40" t="s">
        <v>87</v>
      </c>
      <c r="D79" s="40">
        <v>30</v>
      </c>
      <c r="E79" s="40">
        <v>6</v>
      </c>
      <c r="F79" s="41">
        <v>36</v>
      </c>
      <c r="G79" s="41">
        <v>2</v>
      </c>
      <c r="H79" s="41" t="s">
        <v>11</v>
      </c>
      <c r="I79" s="41"/>
      <c r="J79" s="144"/>
      <c r="K79" s="203"/>
    </row>
    <row r="80" spans="2:11" ht="26.4" x14ac:dyDescent="0.3">
      <c r="B80" s="39">
        <v>77</v>
      </c>
      <c r="C80" s="40" t="s">
        <v>88</v>
      </c>
      <c r="D80" s="40">
        <v>26</v>
      </c>
      <c r="E80" s="40">
        <v>10</v>
      </c>
      <c r="F80" s="41">
        <v>36</v>
      </c>
      <c r="G80" s="41">
        <v>2</v>
      </c>
      <c r="H80" s="41" t="s">
        <v>11</v>
      </c>
      <c r="I80" s="41"/>
      <c r="J80" s="144"/>
      <c r="K80" s="203"/>
    </row>
    <row r="81" spans="2:11" ht="26.4" x14ac:dyDescent="0.3">
      <c r="B81" s="39">
        <v>78</v>
      </c>
      <c r="C81" s="40" t="s">
        <v>89</v>
      </c>
      <c r="D81" s="40">
        <v>37</v>
      </c>
      <c r="E81" s="40">
        <v>7</v>
      </c>
      <c r="F81" s="41">
        <v>44</v>
      </c>
      <c r="G81" s="41">
        <v>0</v>
      </c>
      <c r="H81" s="41" t="s">
        <v>11</v>
      </c>
      <c r="I81" s="41"/>
      <c r="J81" s="144"/>
      <c r="K81" s="203"/>
    </row>
    <row r="82" spans="2:11" ht="26.4" x14ac:dyDescent="0.3">
      <c r="B82" s="39">
        <v>79</v>
      </c>
      <c r="C82" s="40" t="s">
        <v>90</v>
      </c>
      <c r="D82" s="40">
        <v>36</v>
      </c>
      <c r="E82" s="40">
        <v>6</v>
      </c>
      <c r="F82" s="41">
        <v>42</v>
      </c>
      <c r="G82" s="41">
        <v>3</v>
      </c>
      <c r="H82" s="41" t="s">
        <v>11</v>
      </c>
      <c r="I82" s="41"/>
      <c r="J82" s="144"/>
      <c r="K82" s="203"/>
    </row>
    <row r="83" spans="2:11" ht="26.4" x14ac:dyDescent="0.3">
      <c r="B83" s="39">
        <v>80</v>
      </c>
      <c r="C83" s="40" t="s">
        <v>91</v>
      </c>
      <c r="D83" s="40">
        <v>32</v>
      </c>
      <c r="E83" s="40">
        <v>0</v>
      </c>
      <c r="F83" s="41">
        <v>32</v>
      </c>
      <c r="G83" s="41">
        <v>2</v>
      </c>
      <c r="H83" s="41" t="s">
        <v>11</v>
      </c>
      <c r="I83" s="41"/>
      <c r="J83" s="144"/>
      <c r="K83" s="203"/>
    </row>
    <row r="84" spans="2:11" ht="26.4" x14ac:dyDescent="0.3">
      <c r="B84" s="39">
        <v>81</v>
      </c>
      <c r="C84" s="40" t="s">
        <v>92</v>
      </c>
      <c r="D84" s="40">
        <v>29</v>
      </c>
      <c r="E84" s="40">
        <v>2</v>
      </c>
      <c r="F84" s="41">
        <v>31</v>
      </c>
      <c r="G84" s="41">
        <v>2</v>
      </c>
      <c r="H84" s="41" t="s">
        <v>11</v>
      </c>
      <c r="I84" s="41"/>
      <c r="J84" s="144"/>
      <c r="K84" s="203"/>
    </row>
    <row r="85" spans="2:11" ht="26.4" x14ac:dyDescent="0.3">
      <c r="B85" s="39">
        <v>83</v>
      </c>
      <c r="C85" s="40" t="s">
        <v>93</v>
      </c>
      <c r="D85" s="40">
        <v>25</v>
      </c>
      <c r="E85" s="40">
        <v>6</v>
      </c>
      <c r="F85" s="41">
        <v>31</v>
      </c>
      <c r="G85" s="41">
        <v>2</v>
      </c>
      <c r="H85" s="41" t="s">
        <v>11</v>
      </c>
      <c r="I85" s="41"/>
      <c r="J85" s="144"/>
      <c r="K85" s="203"/>
    </row>
    <row r="86" spans="2:11" ht="26.4" x14ac:dyDescent="0.3">
      <c r="B86" s="39">
        <v>84</v>
      </c>
      <c r="C86" s="40" t="s">
        <v>94</v>
      </c>
      <c r="D86" s="40">
        <v>21</v>
      </c>
      <c r="E86" s="40">
        <v>8</v>
      </c>
      <c r="F86" s="41">
        <v>29</v>
      </c>
      <c r="G86" s="41">
        <v>1</v>
      </c>
      <c r="H86" s="41" t="s">
        <v>23</v>
      </c>
      <c r="I86" s="41"/>
      <c r="J86" s="144"/>
      <c r="K86" s="203"/>
    </row>
    <row r="87" spans="2:11" ht="26.4" x14ac:dyDescent="0.3">
      <c r="B87" s="39">
        <v>85</v>
      </c>
      <c r="C87" s="40" t="s">
        <v>95</v>
      </c>
      <c r="D87" s="40">
        <v>27</v>
      </c>
      <c r="E87" s="40">
        <v>2</v>
      </c>
      <c r="F87" s="41">
        <v>29</v>
      </c>
      <c r="G87" s="41">
        <v>1</v>
      </c>
      <c r="H87" s="41" t="s">
        <v>23</v>
      </c>
      <c r="I87" s="41"/>
      <c r="J87" s="144"/>
      <c r="K87" s="203"/>
    </row>
    <row r="88" spans="2:11" x14ac:dyDescent="0.3">
      <c r="B88" s="39">
        <v>86</v>
      </c>
      <c r="C88" s="40" t="s">
        <v>96</v>
      </c>
      <c r="D88" s="40">
        <v>20</v>
      </c>
      <c r="E88" s="40">
        <v>1</v>
      </c>
      <c r="F88" s="41">
        <v>21</v>
      </c>
      <c r="G88" s="41">
        <v>1</v>
      </c>
      <c r="H88" s="41" t="s">
        <v>23</v>
      </c>
      <c r="I88" s="41"/>
      <c r="J88" s="144"/>
      <c r="K88" s="203"/>
    </row>
    <row r="89" spans="2:11" ht="26.4" x14ac:dyDescent="0.3">
      <c r="B89" s="39">
        <v>87</v>
      </c>
      <c r="C89" s="40" t="s">
        <v>97</v>
      </c>
      <c r="D89" s="40">
        <v>65</v>
      </c>
      <c r="E89" s="40">
        <v>5</v>
      </c>
      <c r="F89" s="41">
        <v>70</v>
      </c>
      <c r="G89" s="41">
        <v>3</v>
      </c>
      <c r="H89" s="41" t="s">
        <v>35</v>
      </c>
      <c r="I89" s="41"/>
      <c r="J89" s="144"/>
      <c r="K89" s="203"/>
    </row>
    <row r="90" spans="2:11" x14ac:dyDescent="0.3">
      <c r="B90" s="39">
        <v>88</v>
      </c>
      <c r="C90" s="40" t="s">
        <v>98</v>
      </c>
      <c r="D90" s="40">
        <v>21</v>
      </c>
      <c r="E90" s="40">
        <v>2</v>
      </c>
      <c r="F90" s="41">
        <v>23</v>
      </c>
      <c r="G90" s="41">
        <v>1</v>
      </c>
      <c r="H90" s="41" t="s">
        <v>23</v>
      </c>
      <c r="I90" s="41"/>
      <c r="J90" s="144"/>
      <c r="K90" s="203"/>
    </row>
    <row r="91" spans="2:11" ht="26.4" x14ac:dyDescent="0.3">
      <c r="B91" s="39">
        <v>89</v>
      </c>
      <c r="C91" s="40" t="s">
        <v>99</v>
      </c>
      <c r="D91" s="40">
        <v>16</v>
      </c>
      <c r="E91" s="40">
        <v>1</v>
      </c>
      <c r="F91" s="41">
        <v>17</v>
      </c>
      <c r="G91" s="41">
        <v>0</v>
      </c>
      <c r="H91" s="41" t="s">
        <v>23</v>
      </c>
      <c r="I91" s="41"/>
      <c r="J91" s="144"/>
      <c r="K91" s="203"/>
    </row>
    <row r="92" spans="2:11" x14ac:dyDescent="0.3">
      <c r="B92" s="39">
        <v>90</v>
      </c>
      <c r="C92" s="40" t="s">
        <v>100</v>
      </c>
      <c r="D92" s="40">
        <v>33</v>
      </c>
      <c r="E92" s="40">
        <v>3</v>
      </c>
      <c r="F92" s="41">
        <v>36</v>
      </c>
      <c r="G92" s="41">
        <v>0</v>
      </c>
      <c r="H92" s="41" t="s">
        <v>23</v>
      </c>
      <c r="I92" s="41"/>
      <c r="J92" s="144"/>
      <c r="K92" s="203"/>
    </row>
    <row r="93" spans="2:11" ht="26.4" x14ac:dyDescent="0.3">
      <c r="B93" s="39">
        <v>91</v>
      </c>
      <c r="C93" s="40" t="s">
        <v>101</v>
      </c>
      <c r="D93" s="40">
        <v>28</v>
      </c>
      <c r="E93" s="40">
        <v>3</v>
      </c>
      <c r="F93" s="41">
        <v>31</v>
      </c>
      <c r="G93" s="41">
        <v>0</v>
      </c>
      <c r="H93" s="41" t="s">
        <v>23</v>
      </c>
      <c r="I93" s="41"/>
      <c r="J93" s="144"/>
      <c r="K93" s="203"/>
    </row>
    <row r="94" spans="2:11" x14ac:dyDescent="0.3">
      <c r="B94" s="39">
        <v>92</v>
      </c>
      <c r="C94" s="40" t="s">
        <v>102</v>
      </c>
      <c r="D94" s="40">
        <v>12</v>
      </c>
      <c r="E94" s="40">
        <v>2</v>
      </c>
      <c r="F94" s="41">
        <v>14</v>
      </c>
      <c r="G94" s="41">
        <v>1</v>
      </c>
      <c r="H94" s="41" t="s">
        <v>35</v>
      </c>
      <c r="I94" s="41"/>
      <c r="J94" s="144"/>
      <c r="K94" s="203"/>
    </row>
    <row r="95" spans="2:11" x14ac:dyDescent="0.3">
      <c r="B95" s="39">
        <v>93</v>
      </c>
      <c r="C95" s="40" t="s">
        <v>103</v>
      </c>
      <c r="D95" s="40">
        <v>21</v>
      </c>
      <c r="E95" s="40">
        <v>3</v>
      </c>
      <c r="F95" s="41">
        <v>24</v>
      </c>
      <c r="G95" s="41">
        <v>1</v>
      </c>
      <c r="H95" s="41" t="s">
        <v>35</v>
      </c>
      <c r="I95" s="41"/>
      <c r="J95" s="144"/>
      <c r="K95" s="203"/>
    </row>
    <row r="96" spans="2:11" x14ac:dyDescent="0.3">
      <c r="B96" s="39">
        <v>94</v>
      </c>
      <c r="C96" s="40" t="s">
        <v>104</v>
      </c>
      <c r="D96" s="40">
        <v>3</v>
      </c>
      <c r="E96" s="40"/>
      <c r="F96" s="41">
        <v>3</v>
      </c>
      <c r="G96" s="41">
        <v>1</v>
      </c>
      <c r="H96" s="41" t="s">
        <v>105</v>
      </c>
      <c r="I96" s="41"/>
      <c r="J96" s="144"/>
      <c r="K96" s="203"/>
    </row>
    <row r="97" spans="2:11" ht="26.4" x14ac:dyDescent="0.3">
      <c r="B97" s="39">
        <v>95</v>
      </c>
      <c r="C97" s="40" t="s">
        <v>106</v>
      </c>
      <c r="D97" s="40">
        <v>28</v>
      </c>
      <c r="E97" s="40">
        <v>0</v>
      </c>
      <c r="F97" s="41">
        <v>28</v>
      </c>
      <c r="G97" s="41">
        <v>2</v>
      </c>
      <c r="H97" s="41" t="s">
        <v>11</v>
      </c>
      <c r="I97" s="41"/>
      <c r="J97" s="144"/>
      <c r="K97" s="203"/>
    </row>
    <row r="98" spans="2:11" ht="26.4" x14ac:dyDescent="0.3">
      <c r="B98" s="39">
        <v>96</v>
      </c>
      <c r="C98" s="40" t="s">
        <v>107</v>
      </c>
      <c r="D98" s="40">
        <v>36</v>
      </c>
      <c r="E98" s="40">
        <v>0</v>
      </c>
      <c r="F98" s="41">
        <v>36</v>
      </c>
      <c r="G98" s="41">
        <v>2</v>
      </c>
      <c r="H98" s="41" t="s">
        <v>11</v>
      </c>
      <c r="I98" s="41"/>
      <c r="J98" s="206"/>
      <c r="K98" s="204"/>
    </row>
    <row r="99" spans="2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2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2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2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2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2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2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2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2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2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2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2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2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2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0">
    <mergeCell ref="K71:K98"/>
    <mergeCell ref="B1:K1"/>
    <mergeCell ref="J71:J98"/>
    <mergeCell ref="J5:J10"/>
    <mergeCell ref="K36:K70"/>
    <mergeCell ref="K11:K34"/>
    <mergeCell ref="K5:K10"/>
    <mergeCell ref="B2:C2"/>
    <mergeCell ref="J11:J34"/>
    <mergeCell ref="J36:J70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30" t="s">
        <v>303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2:11" s="3" customFormat="1" ht="24.6" customHeight="1" thickBot="1" x14ac:dyDescent="0.35">
      <c r="B2" s="122" t="s">
        <v>1</v>
      </c>
      <c r="C2" s="123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3</v>
      </c>
      <c r="C3" s="40" t="s">
        <v>293</v>
      </c>
      <c r="D3" s="40">
        <v>16</v>
      </c>
      <c r="E3" s="40">
        <v>4</v>
      </c>
      <c r="F3" s="41">
        <v>20</v>
      </c>
      <c r="G3" s="41">
        <v>1</v>
      </c>
      <c r="H3" s="41" t="s">
        <v>11</v>
      </c>
      <c r="I3" s="41"/>
      <c r="J3" s="205">
        <v>46353</v>
      </c>
      <c r="K3" s="202">
        <f>SUM(F3:F8)+SUM(G3:G8)</f>
        <v>324</v>
      </c>
    </row>
    <row r="4" spans="2:11" ht="19.95" customHeight="1" x14ac:dyDescent="0.3">
      <c r="B4" s="39">
        <v>4</v>
      </c>
      <c r="C4" s="40" t="s">
        <v>294</v>
      </c>
      <c r="D4" s="40">
        <v>29</v>
      </c>
      <c r="E4" s="40">
        <v>4</v>
      </c>
      <c r="F4" s="41">
        <v>33</v>
      </c>
      <c r="G4" s="41">
        <v>2</v>
      </c>
      <c r="H4" s="41" t="s">
        <v>11</v>
      </c>
      <c r="I4" s="41"/>
      <c r="J4" s="144"/>
      <c r="K4" s="203"/>
    </row>
    <row r="5" spans="2:11" ht="19.95" customHeight="1" x14ac:dyDescent="0.3">
      <c r="B5" s="39">
        <v>5</v>
      </c>
      <c r="C5" s="40" t="s">
        <v>295</v>
      </c>
      <c r="D5" s="40">
        <v>30</v>
      </c>
      <c r="E5" s="40">
        <v>4</v>
      </c>
      <c r="F5" s="41">
        <v>34</v>
      </c>
      <c r="G5" s="41">
        <v>2</v>
      </c>
      <c r="H5" s="41" t="s">
        <v>11</v>
      </c>
      <c r="I5" s="41"/>
      <c r="J5" s="144"/>
      <c r="K5" s="203"/>
    </row>
    <row r="6" spans="2:11" ht="19.95" customHeight="1" x14ac:dyDescent="0.3">
      <c r="B6" s="39">
        <v>6</v>
      </c>
      <c r="C6" s="40" t="s">
        <v>296</v>
      </c>
      <c r="D6" s="40">
        <v>126</v>
      </c>
      <c r="E6" s="40">
        <v>17</v>
      </c>
      <c r="F6" s="41">
        <v>143</v>
      </c>
      <c r="G6" s="41">
        <v>7</v>
      </c>
      <c r="H6" s="41" t="s">
        <v>11</v>
      </c>
      <c r="I6" s="41"/>
      <c r="J6" s="144"/>
      <c r="K6" s="203"/>
    </row>
    <row r="7" spans="2:11" ht="19.95" customHeight="1" x14ac:dyDescent="0.3">
      <c r="B7" s="39">
        <v>7</v>
      </c>
      <c r="C7" s="40" t="s">
        <v>297</v>
      </c>
      <c r="D7" s="40">
        <v>39</v>
      </c>
      <c r="E7" s="40">
        <v>0</v>
      </c>
      <c r="F7" s="41">
        <v>39</v>
      </c>
      <c r="G7" s="41">
        <v>3</v>
      </c>
      <c r="H7" s="41" t="s">
        <v>11</v>
      </c>
      <c r="I7" s="41"/>
      <c r="J7" s="144"/>
      <c r="K7" s="203"/>
    </row>
    <row r="8" spans="2:11" ht="19.95" customHeight="1" x14ac:dyDescent="0.3">
      <c r="B8" s="39">
        <v>8</v>
      </c>
      <c r="C8" s="40" t="s">
        <v>298</v>
      </c>
      <c r="D8" s="40">
        <v>35</v>
      </c>
      <c r="E8" s="40">
        <v>3</v>
      </c>
      <c r="F8" s="41">
        <v>38</v>
      </c>
      <c r="G8" s="41">
        <v>2</v>
      </c>
      <c r="H8" s="41" t="s">
        <v>11</v>
      </c>
      <c r="I8" s="41"/>
      <c r="J8" s="206"/>
      <c r="K8" s="204"/>
    </row>
    <row r="9" spans="2:11" ht="19.95" customHeight="1" thickBot="1" x14ac:dyDescent="0.35">
      <c r="B9" s="44">
        <v>9</v>
      </c>
      <c r="C9" s="45" t="s">
        <v>14</v>
      </c>
      <c r="D9" s="45">
        <v>30</v>
      </c>
      <c r="E9" s="45">
        <v>3</v>
      </c>
      <c r="F9" s="46">
        <v>33</v>
      </c>
      <c r="G9" s="46">
        <v>2</v>
      </c>
      <c r="H9" s="46" t="s">
        <v>11</v>
      </c>
      <c r="I9" s="46"/>
      <c r="J9" s="197">
        <v>46360</v>
      </c>
      <c r="K9" s="199">
        <f>SUM(F9:F32)+SUM(G9:G32)</f>
        <v>777</v>
      </c>
    </row>
    <row r="10" spans="2:11" ht="19.95" customHeight="1" x14ac:dyDescent="0.3">
      <c r="B10" s="44">
        <v>10</v>
      </c>
      <c r="C10" s="45" t="s">
        <v>16</v>
      </c>
      <c r="D10" s="45">
        <v>24</v>
      </c>
      <c r="E10" s="45">
        <v>2</v>
      </c>
      <c r="F10" s="46">
        <v>26</v>
      </c>
      <c r="G10" s="46">
        <v>2</v>
      </c>
      <c r="H10" s="46" t="s">
        <v>11</v>
      </c>
      <c r="I10" s="46"/>
      <c r="J10" s="167"/>
      <c r="K10" s="200"/>
    </row>
    <row r="11" spans="2:11" ht="19.95" customHeight="1" x14ac:dyDescent="0.3">
      <c r="B11" s="44">
        <v>11</v>
      </c>
      <c r="C11" s="45" t="s">
        <v>17</v>
      </c>
      <c r="D11" s="45">
        <v>20</v>
      </c>
      <c r="E11" s="45">
        <v>2</v>
      </c>
      <c r="F11" s="46">
        <v>22</v>
      </c>
      <c r="G11" s="46">
        <v>1</v>
      </c>
      <c r="H11" s="46" t="s">
        <v>11</v>
      </c>
      <c r="I11" s="46"/>
      <c r="J11" s="167"/>
      <c r="K11" s="200"/>
    </row>
    <row r="12" spans="2:11" ht="19.95" customHeight="1" x14ac:dyDescent="0.3">
      <c r="B12" s="44">
        <v>12</v>
      </c>
      <c r="C12" s="45" t="s">
        <v>18</v>
      </c>
      <c r="D12" s="45">
        <v>27</v>
      </c>
      <c r="E12" s="45">
        <v>0</v>
      </c>
      <c r="F12" s="46">
        <v>27</v>
      </c>
      <c r="G12" s="46">
        <v>1</v>
      </c>
      <c r="H12" s="46" t="s">
        <v>11</v>
      </c>
      <c r="I12" s="46"/>
      <c r="J12" s="167"/>
      <c r="K12" s="200"/>
    </row>
    <row r="13" spans="2:11" ht="19.95" customHeight="1" x14ac:dyDescent="0.3">
      <c r="B13" s="44">
        <v>13</v>
      </c>
      <c r="C13" s="45" t="s">
        <v>19</v>
      </c>
      <c r="D13" s="45">
        <v>79</v>
      </c>
      <c r="E13" s="45">
        <v>0</v>
      </c>
      <c r="F13" s="46">
        <v>79</v>
      </c>
      <c r="G13" s="46">
        <v>4</v>
      </c>
      <c r="H13" s="46" t="s">
        <v>11</v>
      </c>
      <c r="I13" s="46"/>
      <c r="J13" s="167"/>
      <c r="K13" s="200"/>
    </row>
    <row r="14" spans="2:11" ht="19.95" customHeight="1" x14ac:dyDescent="0.3">
      <c r="B14" s="44">
        <v>14</v>
      </c>
      <c r="C14" s="45" t="s">
        <v>20</v>
      </c>
      <c r="D14" s="45">
        <v>24</v>
      </c>
      <c r="E14" s="45">
        <v>4</v>
      </c>
      <c r="F14" s="46">
        <v>28</v>
      </c>
      <c r="G14" s="46">
        <v>0</v>
      </c>
      <c r="H14" s="46" t="s">
        <v>11</v>
      </c>
      <c r="I14" s="46"/>
      <c r="J14" s="167"/>
      <c r="K14" s="200"/>
    </row>
    <row r="15" spans="2:11" ht="19.95" customHeight="1" thickBot="1" x14ac:dyDescent="0.35">
      <c r="B15" s="44">
        <v>15</v>
      </c>
      <c r="C15" s="45" t="s">
        <v>21</v>
      </c>
      <c r="D15" s="45">
        <v>35</v>
      </c>
      <c r="E15" s="45">
        <v>7</v>
      </c>
      <c r="F15" s="46">
        <v>42</v>
      </c>
      <c r="G15" s="46">
        <v>3</v>
      </c>
      <c r="H15" s="46" t="s">
        <v>11</v>
      </c>
      <c r="I15" s="46"/>
      <c r="J15" s="167"/>
      <c r="K15" s="200"/>
    </row>
    <row r="16" spans="2:11" ht="19.95" customHeight="1" x14ac:dyDescent="0.3">
      <c r="B16" s="44">
        <v>16</v>
      </c>
      <c r="C16" s="45" t="s">
        <v>22</v>
      </c>
      <c r="D16" s="45">
        <v>24</v>
      </c>
      <c r="E16" s="45">
        <v>2</v>
      </c>
      <c r="F16" s="46">
        <v>26</v>
      </c>
      <c r="G16" s="46">
        <v>0</v>
      </c>
      <c r="H16" s="46" t="s">
        <v>23</v>
      </c>
      <c r="I16" s="46"/>
      <c r="J16" s="167"/>
      <c r="K16" s="200"/>
    </row>
    <row r="17" spans="2:11" ht="19.95" customHeight="1" x14ac:dyDescent="0.3">
      <c r="B17" s="44">
        <v>17</v>
      </c>
      <c r="C17" s="45" t="s">
        <v>24</v>
      </c>
      <c r="D17" s="45">
        <v>31</v>
      </c>
      <c r="E17" s="45">
        <v>7</v>
      </c>
      <c r="F17" s="46">
        <v>38</v>
      </c>
      <c r="G17" s="46">
        <v>0</v>
      </c>
      <c r="H17" s="46" t="s">
        <v>11</v>
      </c>
      <c r="I17" s="46"/>
      <c r="J17" s="167"/>
      <c r="K17" s="200"/>
    </row>
    <row r="18" spans="2:11" ht="19.95" customHeight="1" x14ac:dyDescent="0.3">
      <c r="B18" s="44">
        <v>18</v>
      </c>
      <c r="C18" s="45" t="s">
        <v>25</v>
      </c>
      <c r="D18" s="45">
        <v>29</v>
      </c>
      <c r="E18" s="45">
        <v>3</v>
      </c>
      <c r="F18" s="46">
        <v>32</v>
      </c>
      <c r="G18" s="46">
        <v>1</v>
      </c>
      <c r="H18" s="46" t="s">
        <v>11</v>
      </c>
      <c r="I18" s="46"/>
      <c r="J18" s="167"/>
      <c r="K18" s="200"/>
    </row>
    <row r="19" spans="2:11" ht="19.95" customHeight="1" x14ac:dyDescent="0.3">
      <c r="B19" s="44">
        <v>20</v>
      </c>
      <c r="C19" s="45" t="s">
        <v>26</v>
      </c>
      <c r="D19" s="45">
        <v>20</v>
      </c>
      <c r="E19" s="45">
        <v>0</v>
      </c>
      <c r="F19" s="46">
        <v>20</v>
      </c>
      <c r="G19" s="46">
        <v>1</v>
      </c>
      <c r="H19" s="46" t="s">
        <v>11</v>
      </c>
      <c r="I19" s="46"/>
      <c r="J19" s="167"/>
      <c r="K19" s="200"/>
    </row>
    <row r="20" spans="2:11" ht="19.95" customHeight="1" x14ac:dyDescent="0.3">
      <c r="B20" s="44">
        <v>21</v>
      </c>
      <c r="C20" s="45" t="s">
        <v>27</v>
      </c>
      <c r="D20" s="45">
        <v>25</v>
      </c>
      <c r="E20" s="45">
        <v>0</v>
      </c>
      <c r="F20" s="46">
        <v>25</v>
      </c>
      <c r="G20" s="46">
        <v>2</v>
      </c>
      <c r="H20" s="46" t="s">
        <v>11</v>
      </c>
      <c r="I20" s="46"/>
      <c r="J20" s="167"/>
      <c r="K20" s="200"/>
    </row>
    <row r="21" spans="2:11" ht="19.95" customHeight="1" x14ac:dyDescent="0.3">
      <c r="B21" s="44">
        <v>22</v>
      </c>
      <c r="C21" s="45" t="s">
        <v>28</v>
      </c>
      <c r="D21" s="45">
        <v>75</v>
      </c>
      <c r="E21" s="45">
        <v>0</v>
      </c>
      <c r="F21" s="46">
        <v>75</v>
      </c>
      <c r="G21" s="46">
        <v>4</v>
      </c>
      <c r="H21" s="46" t="s">
        <v>11</v>
      </c>
      <c r="I21" s="46"/>
      <c r="J21" s="167"/>
      <c r="K21" s="200"/>
    </row>
    <row r="22" spans="2:11" ht="19.95" customHeight="1" thickBot="1" x14ac:dyDescent="0.35">
      <c r="B22" s="44">
        <v>23</v>
      </c>
      <c r="C22" s="45" t="s">
        <v>29</v>
      </c>
      <c r="D22" s="45">
        <v>24</v>
      </c>
      <c r="E22" s="45">
        <v>2</v>
      </c>
      <c r="F22" s="46">
        <v>26</v>
      </c>
      <c r="G22" s="46">
        <v>0</v>
      </c>
      <c r="H22" s="46" t="s">
        <v>23</v>
      </c>
      <c r="I22" s="46"/>
      <c r="J22" s="167"/>
      <c r="K22" s="200"/>
    </row>
    <row r="23" spans="2:11" ht="21.6" customHeight="1" x14ac:dyDescent="0.3">
      <c r="B23" s="44">
        <v>24</v>
      </c>
      <c r="C23" s="45" t="s">
        <v>30</v>
      </c>
      <c r="D23" s="45">
        <v>27</v>
      </c>
      <c r="E23" s="45">
        <v>4</v>
      </c>
      <c r="F23" s="46">
        <v>31</v>
      </c>
      <c r="G23" s="46">
        <v>2</v>
      </c>
      <c r="H23" s="46" t="s">
        <v>23</v>
      </c>
      <c r="I23" s="46"/>
      <c r="J23" s="167"/>
      <c r="K23" s="200"/>
    </row>
    <row r="24" spans="2:11" ht="21.6" customHeight="1" x14ac:dyDescent="0.3">
      <c r="B24" s="44">
        <v>25</v>
      </c>
      <c r="C24" s="45" t="s">
        <v>31</v>
      </c>
      <c r="D24" s="45">
        <v>19</v>
      </c>
      <c r="E24" s="45">
        <v>4</v>
      </c>
      <c r="F24" s="46">
        <v>23</v>
      </c>
      <c r="G24" s="46">
        <v>1</v>
      </c>
      <c r="H24" s="46" t="s">
        <v>23</v>
      </c>
      <c r="I24" s="46"/>
      <c r="J24" s="167"/>
      <c r="K24" s="200"/>
    </row>
    <row r="25" spans="2:11" ht="21.6" customHeight="1" x14ac:dyDescent="0.3">
      <c r="B25" s="44">
        <v>26</v>
      </c>
      <c r="C25" s="45" t="s">
        <v>32</v>
      </c>
      <c r="D25" s="45">
        <v>9</v>
      </c>
      <c r="E25" s="45">
        <v>0</v>
      </c>
      <c r="F25" s="46">
        <v>9</v>
      </c>
      <c r="G25" s="46">
        <v>1</v>
      </c>
      <c r="H25" s="46" t="s">
        <v>13</v>
      </c>
      <c r="I25" s="46"/>
      <c r="J25" s="167"/>
      <c r="K25" s="200"/>
    </row>
    <row r="26" spans="2:11" ht="21.6" customHeight="1" x14ac:dyDescent="0.3">
      <c r="B26" s="44">
        <v>27</v>
      </c>
      <c r="C26" s="45" t="s">
        <v>33</v>
      </c>
      <c r="D26" s="45">
        <v>18</v>
      </c>
      <c r="E26" s="45">
        <v>4</v>
      </c>
      <c r="F26" s="46">
        <v>22</v>
      </c>
      <c r="G26" s="46">
        <v>2</v>
      </c>
      <c r="H26" s="46" t="s">
        <v>23</v>
      </c>
      <c r="I26" s="46"/>
      <c r="J26" s="167"/>
      <c r="K26" s="200"/>
    </row>
    <row r="27" spans="2:11" ht="21.6" customHeight="1" x14ac:dyDescent="0.3">
      <c r="B27" s="44">
        <v>28</v>
      </c>
      <c r="C27" s="45" t="s">
        <v>34</v>
      </c>
      <c r="D27" s="45">
        <v>23</v>
      </c>
      <c r="E27" s="45">
        <v>4</v>
      </c>
      <c r="F27" s="46">
        <v>27</v>
      </c>
      <c r="G27" s="46">
        <v>0</v>
      </c>
      <c r="H27" s="46" t="s">
        <v>35</v>
      </c>
      <c r="I27" s="46"/>
      <c r="J27" s="167"/>
      <c r="K27" s="200"/>
    </row>
    <row r="28" spans="2:11" ht="21.6" customHeight="1" x14ac:dyDescent="0.3">
      <c r="B28" s="44">
        <v>29</v>
      </c>
      <c r="C28" s="45" t="s">
        <v>36</v>
      </c>
      <c r="D28" s="45">
        <v>46</v>
      </c>
      <c r="E28" s="45">
        <v>0</v>
      </c>
      <c r="F28" s="46">
        <v>46</v>
      </c>
      <c r="G28" s="46">
        <v>2</v>
      </c>
      <c r="H28" s="46" t="s">
        <v>37</v>
      </c>
      <c r="I28" s="46"/>
      <c r="J28" s="167"/>
      <c r="K28" s="200"/>
    </row>
    <row r="29" spans="2:11" ht="21.6" customHeight="1" x14ac:dyDescent="0.3">
      <c r="B29" s="44">
        <v>30</v>
      </c>
      <c r="C29" s="45" t="s">
        <v>38</v>
      </c>
      <c r="D29" s="45">
        <v>18</v>
      </c>
      <c r="E29" s="45">
        <v>4</v>
      </c>
      <c r="F29" s="46">
        <v>22</v>
      </c>
      <c r="G29" s="46">
        <v>0</v>
      </c>
      <c r="H29" s="46" t="s">
        <v>35</v>
      </c>
      <c r="I29" s="46"/>
      <c r="J29" s="167"/>
      <c r="K29" s="200"/>
    </row>
    <row r="30" spans="2:11" ht="21.6" customHeight="1" thickBot="1" x14ac:dyDescent="0.35">
      <c r="B30" s="44">
        <v>31</v>
      </c>
      <c r="C30" s="45" t="s">
        <v>39</v>
      </c>
      <c r="D30" s="45">
        <v>22</v>
      </c>
      <c r="E30" s="45">
        <v>0</v>
      </c>
      <c r="F30" s="46">
        <v>22</v>
      </c>
      <c r="G30" s="46">
        <v>1</v>
      </c>
      <c r="H30" s="46" t="s">
        <v>35</v>
      </c>
      <c r="I30" s="46"/>
      <c r="J30" s="167"/>
      <c r="K30" s="200"/>
    </row>
    <row r="31" spans="2:11" ht="21.6" customHeight="1" x14ac:dyDescent="0.3">
      <c r="B31" s="44">
        <v>32</v>
      </c>
      <c r="C31" s="45" t="s">
        <v>40</v>
      </c>
      <c r="D31" s="45">
        <v>24</v>
      </c>
      <c r="E31" s="45">
        <v>0</v>
      </c>
      <c r="F31" s="46">
        <v>24</v>
      </c>
      <c r="G31" s="46">
        <v>1</v>
      </c>
      <c r="H31" s="46" t="s">
        <v>35</v>
      </c>
      <c r="I31" s="46"/>
      <c r="J31" s="167"/>
      <c r="K31" s="200"/>
    </row>
    <row r="32" spans="2:11" ht="21.6" customHeight="1" x14ac:dyDescent="0.3">
      <c r="B32" s="44">
        <v>33</v>
      </c>
      <c r="C32" s="45" t="s">
        <v>41</v>
      </c>
      <c r="D32" s="45">
        <v>20</v>
      </c>
      <c r="E32" s="45">
        <v>0</v>
      </c>
      <c r="F32" s="46">
        <v>20</v>
      </c>
      <c r="G32" s="46">
        <v>1</v>
      </c>
      <c r="H32" s="46" t="s">
        <v>35</v>
      </c>
      <c r="I32" s="46"/>
      <c r="J32" s="198"/>
      <c r="K32" s="201"/>
    </row>
    <row r="33" spans="2:11" ht="21.6" customHeight="1" x14ac:dyDescent="0.3">
      <c r="B33" s="49">
        <v>35</v>
      </c>
      <c r="C33" s="50" t="s">
        <v>44</v>
      </c>
      <c r="D33" s="50">
        <v>26</v>
      </c>
      <c r="E33" s="50">
        <v>2</v>
      </c>
      <c r="F33" s="51">
        <v>28</v>
      </c>
      <c r="G33" s="51">
        <v>0</v>
      </c>
      <c r="H33" s="51" t="s">
        <v>11</v>
      </c>
      <c r="I33" s="51"/>
      <c r="J33" s="127">
        <v>46367</v>
      </c>
      <c r="K33" s="137">
        <f>SUM(F33:F65)+SUM(G33:G65)</f>
        <v>1016</v>
      </c>
    </row>
    <row r="34" spans="2:11" ht="21.6" customHeight="1" x14ac:dyDescent="0.3">
      <c r="B34" s="49">
        <v>36</v>
      </c>
      <c r="C34" s="50" t="s">
        <v>46</v>
      </c>
      <c r="D34" s="50">
        <v>35</v>
      </c>
      <c r="E34" s="50">
        <v>0</v>
      </c>
      <c r="F34" s="51">
        <v>35</v>
      </c>
      <c r="G34" s="51">
        <v>2</v>
      </c>
      <c r="H34" s="51" t="s">
        <v>11</v>
      </c>
      <c r="I34" s="51"/>
      <c r="J34" s="128"/>
      <c r="K34" s="138"/>
    </row>
    <row r="35" spans="2:11" ht="21.6" customHeight="1" x14ac:dyDescent="0.3">
      <c r="B35" s="49">
        <v>37</v>
      </c>
      <c r="C35" s="50" t="s">
        <v>47</v>
      </c>
      <c r="D35" s="50">
        <v>28</v>
      </c>
      <c r="E35" s="50">
        <v>2</v>
      </c>
      <c r="F35" s="51">
        <v>30</v>
      </c>
      <c r="G35" s="51">
        <v>2</v>
      </c>
      <c r="H35" s="51" t="s">
        <v>11</v>
      </c>
      <c r="I35" s="51"/>
      <c r="J35" s="128"/>
      <c r="K35" s="138"/>
    </row>
    <row r="36" spans="2:11" ht="21.6" customHeight="1" x14ac:dyDescent="0.3">
      <c r="B36" s="49">
        <v>38</v>
      </c>
      <c r="C36" s="50" t="s">
        <v>48</v>
      </c>
      <c r="D36" s="50">
        <v>39</v>
      </c>
      <c r="E36" s="50">
        <v>4</v>
      </c>
      <c r="F36" s="51">
        <v>43</v>
      </c>
      <c r="G36" s="51">
        <v>3</v>
      </c>
      <c r="H36" s="51" t="s">
        <v>13</v>
      </c>
      <c r="I36" s="51"/>
      <c r="J36" s="128"/>
      <c r="K36" s="138"/>
    </row>
    <row r="37" spans="2:11" ht="21.6" customHeight="1" x14ac:dyDescent="0.3">
      <c r="B37" s="49">
        <v>39</v>
      </c>
      <c r="C37" s="50" t="s">
        <v>49</v>
      </c>
      <c r="D37" s="50">
        <v>25</v>
      </c>
      <c r="E37" s="50">
        <v>5</v>
      </c>
      <c r="F37" s="51">
        <v>30</v>
      </c>
      <c r="G37" s="51">
        <v>0</v>
      </c>
      <c r="H37" s="51" t="s">
        <v>11</v>
      </c>
      <c r="I37" s="51"/>
      <c r="J37" s="128"/>
      <c r="K37" s="138"/>
    </row>
    <row r="38" spans="2:11" ht="21.6" customHeight="1" x14ac:dyDescent="0.3">
      <c r="B38" s="49">
        <v>41</v>
      </c>
      <c r="C38" s="50" t="s">
        <v>50</v>
      </c>
      <c r="D38" s="50">
        <v>30</v>
      </c>
      <c r="E38" s="50">
        <v>5</v>
      </c>
      <c r="F38" s="51">
        <v>35</v>
      </c>
      <c r="G38" s="51">
        <v>0</v>
      </c>
      <c r="H38" s="51" t="s">
        <v>11</v>
      </c>
      <c r="I38" s="51"/>
      <c r="J38" s="128"/>
      <c r="K38" s="138"/>
    </row>
    <row r="39" spans="2:11" ht="21.6" customHeight="1" x14ac:dyDescent="0.3">
      <c r="B39" s="49">
        <v>43</v>
      </c>
      <c r="C39" s="50" t="s">
        <v>51</v>
      </c>
      <c r="D39" s="50">
        <v>27</v>
      </c>
      <c r="E39" s="50">
        <v>2</v>
      </c>
      <c r="F39" s="51">
        <v>29</v>
      </c>
      <c r="G39" s="51">
        <v>1</v>
      </c>
      <c r="H39" s="51" t="s">
        <v>11</v>
      </c>
      <c r="I39" s="51"/>
      <c r="J39" s="128"/>
      <c r="K39" s="138"/>
    </row>
    <row r="40" spans="2:11" ht="21.6" customHeight="1" x14ac:dyDescent="0.3">
      <c r="B40" s="49">
        <v>44</v>
      </c>
      <c r="C40" s="50" t="s">
        <v>52</v>
      </c>
      <c r="D40" s="50">
        <v>25</v>
      </c>
      <c r="E40" s="50">
        <v>4</v>
      </c>
      <c r="F40" s="51">
        <v>29</v>
      </c>
      <c r="G40" s="51">
        <v>0</v>
      </c>
      <c r="H40" s="51" t="s">
        <v>11</v>
      </c>
      <c r="I40" s="51"/>
      <c r="J40" s="128"/>
      <c r="K40" s="138"/>
    </row>
    <row r="41" spans="2:11" ht="21.6" customHeight="1" thickBot="1" x14ac:dyDescent="0.35">
      <c r="B41" s="49">
        <v>45</v>
      </c>
      <c r="C41" s="50" t="s">
        <v>53</v>
      </c>
      <c r="D41" s="50">
        <v>26</v>
      </c>
      <c r="E41" s="50">
        <v>0</v>
      </c>
      <c r="F41" s="51">
        <v>26</v>
      </c>
      <c r="G41" s="51">
        <v>2</v>
      </c>
      <c r="H41" s="51" t="s">
        <v>11</v>
      </c>
      <c r="I41" s="51"/>
      <c r="J41" s="128"/>
      <c r="K41" s="138"/>
    </row>
    <row r="42" spans="2:11" ht="21.6" customHeight="1" x14ac:dyDescent="0.3">
      <c r="B42" s="49">
        <v>46</v>
      </c>
      <c r="C42" s="50" t="s">
        <v>54</v>
      </c>
      <c r="D42" s="50">
        <v>23</v>
      </c>
      <c r="E42" s="50">
        <v>8</v>
      </c>
      <c r="F42" s="51">
        <v>31</v>
      </c>
      <c r="G42" s="51">
        <v>2</v>
      </c>
      <c r="H42" s="51" t="s">
        <v>11</v>
      </c>
      <c r="I42" s="51"/>
      <c r="J42" s="128"/>
      <c r="K42" s="138"/>
    </row>
    <row r="43" spans="2:11" ht="21.6" customHeight="1" x14ac:dyDescent="0.3">
      <c r="B43" s="49">
        <v>47</v>
      </c>
      <c r="C43" s="50" t="s">
        <v>55</v>
      </c>
      <c r="D43" s="50">
        <v>25</v>
      </c>
      <c r="E43" s="50">
        <v>3</v>
      </c>
      <c r="F43" s="51">
        <v>28</v>
      </c>
      <c r="G43" s="51">
        <v>0</v>
      </c>
      <c r="H43" s="51" t="s">
        <v>11</v>
      </c>
      <c r="I43" s="51"/>
      <c r="J43" s="128"/>
      <c r="K43" s="138"/>
    </row>
    <row r="44" spans="2:11" ht="21.6" customHeight="1" x14ac:dyDescent="0.3">
      <c r="B44" s="49">
        <v>48</v>
      </c>
      <c r="C44" s="50" t="s">
        <v>56</v>
      </c>
      <c r="D44" s="50">
        <v>35</v>
      </c>
      <c r="E44" s="50">
        <v>3</v>
      </c>
      <c r="F44" s="51">
        <v>38</v>
      </c>
      <c r="G44" s="51">
        <v>2</v>
      </c>
      <c r="H44" s="51" t="s">
        <v>11</v>
      </c>
      <c r="I44" s="51"/>
      <c r="J44" s="128"/>
      <c r="K44" s="138"/>
    </row>
    <row r="45" spans="2:11" ht="21.6" customHeight="1" x14ac:dyDescent="0.3">
      <c r="B45" s="49">
        <v>49</v>
      </c>
      <c r="C45" s="50" t="s">
        <v>57</v>
      </c>
      <c r="D45" s="50">
        <v>15</v>
      </c>
      <c r="E45" s="50">
        <v>3</v>
      </c>
      <c r="F45" s="51">
        <v>18</v>
      </c>
      <c r="G45" s="51">
        <v>1</v>
      </c>
      <c r="H45" s="51" t="s">
        <v>11</v>
      </c>
      <c r="I45" s="51"/>
      <c r="J45" s="128"/>
      <c r="K45" s="138"/>
    </row>
    <row r="46" spans="2:11" ht="21.6" customHeight="1" x14ac:dyDescent="0.3">
      <c r="B46" s="49">
        <v>50</v>
      </c>
      <c r="C46" s="50" t="s">
        <v>58</v>
      </c>
      <c r="D46" s="50">
        <v>39</v>
      </c>
      <c r="E46" s="50">
        <v>4</v>
      </c>
      <c r="F46" s="51">
        <v>43</v>
      </c>
      <c r="G46" s="51">
        <v>0</v>
      </c>
      <c r="H46" s="51" t="s">
        <v>11</v>
      </c>
      <c r="I46" s="51"/>
      <c r="J46" s="128"/>
      <c r="K46" s="138"/>
    </row>
    <row r="47" spans="2:11" ht="21.6" customHeight="1" x14ac:dyDescent="0.3">
      <c r="B47" s="49">
        <v>51</v>
      </c>
      <c r="C47" s="50" t="s">
        <v>59</v>
      </c>
      <c r="D47" s="50">
        <v>23</v>
      </c>
      <c r="E47" s="50">
        <v>1</v>
      </c>
      <c r="F47" s="51">
        <v>24</v>
      </c>
      <c r="G47" s="51">
        <v>1</v>
      </c>
      <c r="H47" s="51" t="s">
        <v>11</v>
      </c>
      <c r="I47" s="51"/>
      <c r="J47" s="128"/>
      <c r="K47" s="138"/>
    </row>
    <row r="48" spans="2:11" ht="21.6" customHeight="1" thickBot="1" x14ac:dyDescent="0.35">
      <c r="B48" s="49">
        <v>52</v>
      </c>
      <c r="C48" s="50" t="s">
        <v>60</v>
      </c>
      <c r="D48" s="50">
        <v>23</v>
      </c>
      <c r="E48" s="50">
        <v>3</v>
      </c>
      <c r="F48" s="51">
        <v>26</v>
      </c>
      <c r="G48" s="51">
        <v>1</v>
      </c>
      <c r="H48" s="51" t="s">
        <v>11</v>
      </c>
      <c r="I48" s="51"/>
      <c r="J48" s="128"/>
      <c r="K48" s="138"/>
    </row>
    <row r="49" spans="2:11" ht="21" customHeight="1" x14ac:dyDescent="0.3">
      <c r="B49" s="49">
        <v>53</v>
      </c>
      <c r="C49" s="50" t="s">
        <v>61</v>
      </c>
      <c r="D49" s="50">
        <v>28</v>
      </c>
      <c r="E49" s="50">
        <v>2</v>
      </c>
      <c r="F49" s="51">
        <v>30</v>
      </c>
      <c r="G49" s="51">
        <v>2</v>
      </c>
      <c r="H49" s="51" t="s">
        <v>11</v>
      </c>
      <c r="I49" s="51"/>
      <c r="J49" s="128"/>
      <c r="K49" s="138"/>
    </row>
    <row r="50" spans="2:11" ht="21" customHeight="1" x14ac:dyDescent="0.3">
      <c r="B50" s="49">
        <v>54</v>
      </c>
      <c r="C50" s="50" t="s">
        <v>62</v>
      </c>
      <c r="D50" s="50">
        <v>10</v>
      </c>
      <c r="E50" s="50">
        <v>1</v>
      </c>
      <c r="F50" s="51">
        <v>11</v>
      </c>
      <c r="G50" s="51">
        <v>1</v>
      </c>
      <c r="H50" s="51" t="s">
        <v>11</v>
      </c>
      <c r="I50" s="51"/>
      <c r="J50" s="128"/>
      <c r="K50" s="138"/>
    </row>
    <row r="51" spans="2:11" ht="21" customHeight="1" x14ac:dyDescent="0.3">
      <c r="B51" s="49">
        <v>56</v>
      </c>
      <c r="C51" s="50" t="s">
        <v>63</v>
      </c>
      <c r="D51" s="50">
        <v>21</v>
      </c>
      <c r="E51" s="50">
        <v>0</v>
      </c>
      <c r="F51" s="51">
        <v>21</v>
      </c>
      <c r="G51" s="51">
        <v>1</v>
      </c>
      <c r="H51" s="51" t="s">
        <v>11</v>
      </c>
      <c r="I51" s="51"/>
      <c r="J51" s="128"/>
      <c r="K51" s="138"/>
    </row>
    <row r="52" spans="2:11" ht="21" customHeight="1" x14ac:dyDescent="0.3">
      <c r="B52" s="49">
        <v>57</v>
      </c>
      <c r="C52" s="50" t="s">
        <v>64</v>
      </c>
      <c r="D52" s="50">
        <v>27</v>
      </c>
      <c r="E52" s="50">
        <v>3</v>
      </c>
      <c r="F52" s="51">
        <v>30</v>
      </c>
      <c r="G52" s="51">
        <v>2</v>
      </c>
      <c r="H52" s="51" t="s">
        <v>23</v>
      </c>
      <c r="I52" s="51"/>
      <c r="J52" s="128"/>
      <c r="K52" s="138"/>
    </row>
    <row r="53" spans="2:11" ht="21" customHeight="1" thickBot="1" x14ac:dyDescent="0.35">
      <c r="B53" s="49">
        <v>58</v>
      </c>
      <c r="C53" s="50" t="s">
        <v>65</v>
      </c>
      <c r="D53" s="50">
        <v>35</v>
      </c>
      <c r="E53" s="50">
        <v>4</v>
      </c>
      <c r="F53" s="51">
        <v>39</v>
      </c>
      <c r="G53" s="51">
        <v>2</v>
      </c>
      <c r="H53" s="51" t="s">
        <v>23</v>
      </c>
      <c r="I53" s="51"/>
      <c r="J53" s="128"/>
      <c r="K53" s="138"/>
    </row>
    <row r="54" spans="2:11" ht="21" customHeight="1" x14ac:dyDescent="0.3">
      <c r="B54" s="49">
        <v>59</v>
      </c>
      <c r="C54" s="50" t="s">
        <v>66</v>
      </c>
      <c r="D54" s="50">
        <v>35</v>
      </c>
      <c r="E54" s="50">
        <v>2</v>
      </c>
      <c r="F54" s="51">
        <v>37</v>
      </c>
      <c r="G54" s="51">
        <v>0</v>
      </c>
      <c r="H54" s="51" t="s">
        <v>35</v>
      </c>
      <c r="I54" s="51"/>
      <c r="J54" s="128"/>
      <c r="K54" s="138"/>
    </row>
    <row r="55" spans="2:11" ht="21" customHeight="1" x14ac:dyDescent="0.3">
      <c r="B55" s="49">
        <v>60</v>
      </c>
      <c r="C55" s="50" t="s">
        <v>67</v>
      </c>
      <c r="D55" s="50">
        <v>30</v>
      </c>
      <c r="E55" s="50">
        <v>4</v>
      </c>
      <c r="F55" s="51">
        <v>34</v>
      </c>
      <c r="G55" s="51">
        <v>2</v>
      </c>
      <c r="H55" s="51" t="s">
        <v>23</v>
      </c>
      <c r="I55" s="51"/>
      <c r="J55" s="128"/>
      <c r="K55" s="138"/>
    </row>
    <row r="56" spans="2:11" ht="21" customHeight="1" x14ac:dyDescent="0.3">
      <c r="B56" s="49">
        <v>61</v>
      </c>
      <c r="C56" s="50" t="s">
        <v>68</v>
      </c>
      <c r="D56" s="50">
        <v>26</v>
      </c>
      <c r="E56" s="50">
        <v>4</v>
      </c>
      <c r="F56" s="51">
        <v>30</v>
      </c>
      <c r="G56" s="51">
        <v>1</v>
      </c>
      <c r="H56" s="51" t="s">
        <v>35</v>
      </c>
      <c r="I56" s="51"/>
      <c r="J56" s="128"/>
      <c r="K56" s="138"/>
    </row>
    <row r="57" spans="2:11" ht="21" customHeight="1" x14ac:dyDescent="0.3">
      <c r="B57" s="49">
        <v>62</v>
      </c>
      <c r="C57" s="50" t="s">
        <v>69</v>
      </c>
      <c r="D57" s="50">
        <v>28</v>
      </c>
      <c r="E57" s="50">
        <v>0</v>
      </c>
      <c r="F57" s="51">
        <v>28</v>
      </c>
      <c r="G57" s="51">
        <v>2</v>
      </c>
      <c r="H57" s="51" t="s">
        <v>35</v>
      </c>
      <c r="I57" s="51"/>
      <c r="J57" s="128"/>
      <c r="K57" s="138"/>
    </row>
    <row r="58" spans="2:11" ht="21" customHeight="1" x14ac:dyDescent="0.3">
      <c r="B58" s="49">
        <v>63</v>
      </c>
      <c r="C58" s="50" t="s">
        <v>70</v>
      </c>
      <c r="D58" s="50">
        <v>26</v>
      </c>
      <c r="E58" s="50">
        <v>3</v>
      </c>
      <c r="F58" s="51">
        <v>29</v>
      </c>
      <c r="G58" s="51">
        <v>2</v>
      </c>
      <c r="H58" s="51" t="s">
        <v>35</v>
      </c>
      <c r="I58" s="51"/>
      <c r="J58" s="128"/>
      <c r="K58" s="138"/>
    </row>
    <row r="59" spans="2:11" ht="21" customHeight="1" x14ac:dyDescent="0.3">
      <c r="B59" s="49">
        <v>64</v>
      </c>
      <c r="C59" s="50" t="s">
        <v>71</v>
      </c>
      <c r="D59" s="50">
        <v>22</v>
      </c>
      <c r="E59" s="50">
        <v>1</v>
      </c>
      <c r="F59" s="51">
        <v>23</v>
      </c>
      <c r="G59" s="51">
        <v>1</v>
      </c>
      <c r="H59" s="51" t="s">
        <v>23</v>
      </c>
      <c r="I59" s="51"/>
      <c r="J59" s="128"/>
      <c r="K59" s="138"/>
    </row>
    <row r="60" spans="2:11" ht="21" customHeight="1" x14ac:dyDescent="0.3">
      <c r="B60" s="49">
        <v>65</v>
      </c>
      <c r="C60" s="50" t="s">
        <v>72</v>
      </c>
      <c r="D60" s="50">
        <v>26</v>
      </c>
      <c r="E60" s="50">
        <v>2</v>
      </c>
      <c r="F60" s="51">
        <v>28</v>
      </c>
      <c r="G60" s="51">
        <v>1</v>
      </c>
      <c r="H60" s="51" t="s">
        <v>23</v>
      </c>
      <c r="I60" s="51"/>
      <c r="J60" s="128"/>
      <c r="K60" s="138"/>
    </row>
    <row r="61" spans="2:11" ht="21" customHeight="1" thickBot="1" x14ac:dyDescent="0.35">
      <c r="B61" s="49">
        <v>66</v>
      </c>
      <c r="C61" s="50" t="s">
        <v>73</v>
      </c>
      <c r="D61" s="50">
        <v>32</v>
      </c>
      <c r="E61" s="50">
        <v>4</v>
      </c>
      <c r="F61" s="51">
        <v>36</v>
      </c>
      <c r="G61" s="51">
        <v>2</v>
      </c>
      <c r="H61" s="51" t="s">
        <v>23</v>
      </c>
      <c r="I61" s="51"/>
      <c r="J61" s="128"/>
      <c r="K61" s="138"/>
    </row>
    <row r="62" spans="2:11" ht="21" customHeight="1" x14ac:dyDescent="0.3">
      <c r="B62" s="49">
        <v>67</v>
      </c>
      <c r="C62" s="50" t="s">
        <v>74</v>
      </c>
      <c r="D62" s="50">
        <v>19</v>
      </c>
      <c r="E62" s="50">
        <v>3</v>
      </c>
      <c r="F62" s="51">
        <v>22</v>
      </c>
      <c r="G62" s="51">
        <v>0</v>
      </c>
      <c r="H62" s="51" t="s">
        <v>23</v>
      </c>
      <c r="I62" s="51"/>
      <c r="J62" s="128"/>
      <c r="K62" s="138"/>
    </row>
    <row r="63" spans="2:11" ht="21" customHeight="1" x14ac:dyDescent="0.3">
      <c r="B63" s="49">
        <v>68</v>
      </c>
      <c r="C63" s="50" t="s">
        <v>75</v>
      </c>
      <c r="D63" s="50">
        <v>26</v>
      </c>
      <c r="E63" s="50">
        <v>4</v>
      </c>
      <c r="F63" s="51">
        <v>30</v>
      </c>
      <c r="G63" s="51">
        <v>0</v>
      </c>
      <c r="H63" s="51" t="s">
        <v>13</v>
      </c>
      <c r="I63" s="51"/>
      <c r="J63" s="128"/>
      <c r="K63" s="138"/>
    </row>
    <row r="64" spans="2:11" ht="21" customHeight="1" x14ac:dyDescent="0.3">
      <c r="B64" s="49">
        <v>69</v>
      </c>
      <c r="C64" s="50" t="s">
        <v>76</v>
      </c>
      <c r="D64" s="50">
        <v>27</v>
      </c>
      <c r="E64" s="50">
        <v>1</v>
      </c>
      <c r="F64" s="51">
        <v>28</v>
      </c>
      <c r="G64" s="51">
        <v>2</v>
      </c>
      <c r="H64" s="51" t="s">
        <v>35</v>
      </c>
      <c r="I64" s="51"/>
      <c r="J64" s="128"/>
      <c r="K64" s="138"/>
    </row>
    <row r="65" spans="2:11" ht="21" customHeight="1" x14ac:dyDescent="0.3">
      <c r="B65" s="49">
        <v>82</v>
      </c>
      <c r="C65" s="50" t="s">
        <v>77</v>
      </c>
      <c r="D65" s="50">
        <v>26</v>
      </c>
      <c r="E65" s="50">
        <v>3</v>
      </c>
      <c r="F65" s="51">
        <v>29</v>
      </c>
      <c r="G65" s="51">
        <v>0</v>
      </c>
      <c r="H65" s="51" t="s">
        <v>11</v>
      </c>
      <c r="I65" s="51"/>
      <c r="J65" s="129"/>
      <c r="K65" s="139"/>
    </row>
    <row r="66" spans="2:11" ht="21" customHeight="1" x14ac:dyDescent="0.3">
      <c r="B66" s="54">
        <v>19</v>
      </c>
      <c r="C66" s="55" t="s">
        <v>78</v>
      </c>
      <c r="D66" s="55">
        <v>33</v>
      </c>
      <c r="E66" s="55">
        <v>0</v>
      </c>
      <c r="F66" s="56">
        <v>33</v>
      </c>
      <c r="G66" s="56">
        <v>0</v>
      </c>
      <c r="H66" s="56" t="s">
        <v>11</v>
      </c>
      <c r="I66" s="56"/>
      <c r="J66" s="133">
        <v>46374</v>
      </c>
      <c r="K66" s="135">
        <f>SUM(F66:F93)+SUM(G66:G93)</f>
        <v>894</v>
      </c>
    </row>
    <row r="67" spans="2:11" ht="21" customHeight="1" x14ac:dyDescent="0.3">
      <c r="B67" s="54">
        <v>55</v>
      </c>
      <c r="C67" s="55" t="s">
        <v>80</v>
      </c>
      <c r="D67" s="55">
        <v>26</v>
      </c>
      <c r="E67" s="55">
        <v>3</v>
      </c>
      <c r="F67" s="56">
        <v>29</v>
      </c>
      <c r="G67" s="56">
        <v>2</v>
      </c>
      <c r="H67" s="56" t="s">
        <v>13</v>
      </c>
      <c r="I67" s="56"/>
      <c r="J67" s="151"/>
      <c r="K67" s="207"/>
    </row>
    <row r="68" spans="2:11" ht="21" customHeight="1" x14ac:dyDescent="0.3">
      <c r="B68" s="54">
        <v>70</v>
      </c>
      <c r="C68" s="55" t="s">
        <v>81</v>
      </c>
      <c r="D68" s="55">
        <v>27</v>
      </c>
      <c r="E68" s="55">
        <v>3</v>
      </c>
      <c r="F68" s="56">
        <v>30</v>
      </c>
      <c r="G68" s="56">
        <v>2</v>
      </c>
      <c r="H68" s="56" t="s">
        <v>11</v>
      </c>
      <c r="I68" s="56"/>
      <c r="J68" s="151"/>
      <c r="K68" s="207"/>
    </row>
    <row r="69" spans="2:11" ht="21" customHeight="1" x14ac:dyDescent="0.3">
      <c r="B69" s="54">
        <v>71</v>
      </c>
      <c r="C69" s="55" t="s">
        <v>82</v>
      </c>
      <c r="D69" s="55">
        <v>26</v>
      </c>
      <c r="E69" s="55">
        <v>8</v>
      </c>
      <c r="F69" s="56">
        <v>34</v>
      </c>
      <c r="G69" s="56">
        <v>1</v>
      </c>
      <c r="H69" s="56" t="s">
        <v>11</v>
      </c>
      <c r="I69" s="56"/>
      <c r="J69" s="151"/>
      <c r="K69" s="207"/>
    </row>
    <row r="70" spans="2:11" ht="21" customHeight="1" thickBot="1" x14ac:dyDescent="0.35">
      <c r="B70" s="54">
        <v>72</v>
      </c>
      <c r="C70" s="55" t="s">
        <v>83</v>
      </c>
      <c r="D70" s="55">
        <v>15</v>
      </c>
      <c r="E70" s="55">
        <v>1</v>
      </c>
      <c r="F70" s="56">
        <v>16</v>
      </c>
      <c r="G70" s="56">
        <v>1</v>
      </c>
      <c r="H70" s="56" t="s">
        <v>13</v>
      </c>
      <c r="I70" s="56"/>
      <c r="J70" s="151"/>
      <c r="K70" s="207"/>
    </row>
    <row r="71" spans="2:11" ht="22.95" customHeight="1" thickBot="1" x14ac:dyDescent="0.35">
      <c r="B71" s="54">
        <v>73</v>
      </c>
      <c r="C71" s="55" t="s">
        <v>84</v>
      </c>
      <c r="D71" s="55">
        <v>36</v>
      </c>
      <c r="E71" s="55">
        <v>0</v>
      </c>
      <c r="F71" s="56">
        <v>36</v>
      </c>
      <c r="G71" s="56">
        <v>2</v>
      </c>
      <c r="H71" s="56" t="s">
        <v>11</v>
      </c>
      <c r="I71" s="56"/>
      <c r="J71" s="151"/>
      <c r="K71" s="207"/>
    </row>
    <row r="72" spans="2:11" ht="19.2" customHeight="1" x14ac:dyDescent="0.3">
      <c r="B72" s="54">
        <v>74</v>
      </c>
      <c r="C72" s="55" t="s">
        <v>85</v>
      </c>
      <c r="D72" s="55">
        <v>19</v>
      </c>
      <c r="E72" s="55">
        <v>3</v>
      </c>
      <c r="F72" s="56">
        <v>22</v>
      </c>
      <c r="G72" s="56">
        <v>0</v>
      </c>
      <c r="H72" s="56" t="s">
        <v>11</v>
      </c>
      <c r="I72" s="56"/>
      <c r="J72" s="151"/>
      <c r="K72" s="207"/>
    </row>
    <row r="73" spans="2:11" ht="19.2" customHeight="1" x14ac:dyDescent="0.3">
      <c r="B73" s="54">
        <v>75</v>
      </c>
      <c r="C73" s="55" t="s">
        <v>86</v>
      </c>
      <c r="D73" s="55">
        <v>37</v>
      </c>
      <c r="E73" s="55">
        <v>9</v>
      </c>
      <c r="F73" s="56">
        <v>46</v>
      </c>
      <c r="G73" s="56">
        <v>0</v>
      </c>
      <c r="H73" s="56" t="s">
        <v>11</v>
      </c>
      <c r="I73" s="56"/>
      <c r="J73" s="151"/>
      <c r="K73" s="207"/>
    </row>
    <row r="74" spans="2:11" ht="26.4" x14ac:dyDescent="0.3">
      <c r="B74" s="54">
        <v>76</v>
      </c>
      <c r="C74" s="55" t="s">
        <v>87</v>
      </c>
      <c r="D74" s="55">
        <v>30</v>
      </c>
      <c r="E74" s="55">
        <v>6</v>
      </c>
      <c r="F74" s="56">
        <v>36</v>
      </c>
      <c r="G74" s="56">
        <v>2</v>
      </c>
      <c r="H74" s="56" t="s">
        <v>11</v>
      </c>
      <c r="I74" s="56"/>
      <c r="J74" s="151"/>
      <c r="K74" s="207"/>
    </row>
    <row r="75" spans="2:11" ht="26.4" x14ac:dyDescent="0.3">
      <c r="B75" s="54">
        <v>77</v>
      </c>
      <c r="C75" s="55" t="s">
        <v>88</v>
      </c>
      <c r="D75" s="55">
        <v>26</v>
      </c>
      <c r="E75" s="55">
        <v>10</v>
      </c>
      <c r="F75" s="56">
        <v>36</v>
      </c>
      <c r="G75" s="56">
        <v>2</v>
      </c>
      <c r="H75" s="56" t="s">
        <v>11</v>
      </c>
      <c r="I75" s="56"/>
      <c r="J75" s="151"/>
      <c r="K75" s="207"/>
    </row>
    <row r="76" spans="2:11" ht="26.4" x14ac:dyDescent="0.3">
      <c r="B76" s="54">
        <v>78</v>
      </c>
      <c r="C76" s="55" t="s">
        <v>89</v>
      </c>
      <c r="D76" s="55">
        <v>37</v>
      </c>
      <c r="E76" s="55">
        <v>7</v>
      </c>
      <c r="F76" s="56">
        <v>44</v>
      </c>
      <c r="G76" s="56">
        <v>0</v>
      </c>
      <c r="H76" s="56" t="s">
        <v>11</v>
      </c>
      <c r="I76" s="56"/>
      <c r="J76" s="151"/>
      <c r="K76" s="207"/>
    </row>
    <row r="77" spans="2:11" ht="26.4" x14ac:dyDescent="0.3">
      <c r="B77" s="54">
        <v>79</v>
      </c>
      <c r="C77" s="55" t="s">
        <v>90</v>
      </c>
      <c r="D77" s="55">
        <v>36</v>
      </c>
      <c r="E77" s="55">
        <v>6</v>
      </c>
      <c r="F77" s="56">
        <v>42</v>
      </c>
      <c r="G77" s="56">
        <v>3</v>
      </c>
      <c r="H77" s="56" t="s">
        <v>11</v>
      </c>
      <c r="I77" s="56"/>
      <c r="J77" s="151"/>
      <c r="K77" s="207"/>
    </row>
    <row r="78" spans="2:11" ht="26.4" x14ac:dyDescent="0.3">
      <c r="B78" s="54">
        <v>80</v>
      </c>
      <c r="C78" s="55" t="s">
        <v>91</v>
      </c>
      <c r="D78" s="55">
        <v>32</v>
      </c>
      <c r="E78" s="55">
        <v>0</v>
      </c>
      <c r="F78" s="56">
        <v>32</v>
      </c>
      <c r="G78" s="56">
        <v>2</v>
      </c>
      <c r="H78" s="56" t="s">
        <v>11</v>
      </c>
      <c r="I78" s="56"/>
      <c r="J78" s="151"/>
      <c r="K78" s="207"/>
    </row>
    <row r="79" spans="2:11" ht="26.4" x14ac:dyDescent="0.3">
      <c r="B79" s="54">
        <v>81</v>
      </c>
      <c r="C79" s="55" t="s">
        <v>92</v>
      </c>
      <c r="D79" s="55">
        <v>29</v>
      </c>
      <c r="E79" s="55">
        <v>2</v>
      </c>
      <c r="F79" s="56">
        <v>31</v>
      </c>
      <c r="G79" s="56">
        <v>2</v>
      </c>
      <c r="H79" s="56" t="s">
        <v>11</v>
      </c>
      <c r="I79" s="56"/>
      <c r="J79" s="151"/>
      <c r="K79" s="207"/>
    </row>
    <row r="80" spans="2:11" ht="26.4" x14ac:dyDescent="0.3">
      <c r="B80" s="54">
        <v>83</v>
      </c>
      <c r="C80" s="55" t="s">
        <v>93</v>
      </c>
      <c r="D80" s="55">
        <v>25</v>
      </c>
      <c r="E80" s="55">
        <v>6</v>
      </c>
      <c r="F80" s="56">
        <v>31</v>
      </c>
      <c r="G80" s="56">
        <v>2</v>
      </c>
      <c r="H80" s="56" t="s">
        <v>11</v>
      </c>
      <c r="I80" s="56"/>
      <c r="J80" s="151"/>
      <c r="K80" s="207"/>
    </row>
    <row r="81" spans="2:11" ht="26.4" x14ac:dyDescent="0.3">
      <c r="B81" s="54">
        <v>84</v>
      </c>
      <c r="C81" s="55" t="s">
        <v>94</v>
      </c>
      <c r="D81" s="55">
        <v>21</v>
      </c>
      <c r="E81" s="55">
        <v>8</v>
      </c>
      <c r="F81" s="56">
        <v>29</v>
      </c>
      <c r="G81" s="56">
        <v>1</v>
      </c>
      <c r="H81" s="56" t="s">
        <v>23</v>
      </c>
      <c r="I81" s="56"/>
      <c r="J81" s="151"/>
      <c r="K81" s="207"/>
    </row>
    <row r="82" spans="2:11" ht="26.4" x14ac:dyDescent="0.3">
      <c r="B82" s="54">
        <v>85</v>
      </c>
      <c r="C82" s="55" t="s">
        <v>95</v>
      </c>
      <c r="D82" s="55">
        <v>27</v>
      </c>
      <c r="E82" s="55">
        <v>2</v>
      </c>
      <c r="F82" s="56">
        <v>29</v>
      </c>
      <c r="G82" s="56">
        <v>1</v>
      </c>
      <c r="H82" s="56" t="s">
        <v>23</v>
      </c>
      <c r="I82" s="56"/>
      <c r="J82" s="151"/>
      <c r="K82" s="207"/>
    </row>
    <row r="83" spans="2:11" x14ac:dyDescent="0.3">
      <c r="B83" s="54">
        <v>86</v>
      </c>
      <c r="C83" s="55" t="s">
        <v>96</v>
      </c>
      <c r="D83" s="55">
        <v>20</v>
      </c>
      <c r="E83" s="55">
        <v>1</v>
      </c>
      <c r="F83" s="56">
        <v>21</v>
      </c>
      <c r="G83" s="56">
        <v>1</v>
      </c>
      <c r="H83" s="56" t="s">
        <v>23</v>
      </c>
      <c r="I83" s="56"/>
      <c r="J83" s="151"/>
      <c r="K83" s="207"/>
    </row>
    <row r="84" spans="2:11" ht="26.4" x14ac:dyDescent="0.3">
      <c r="B84" s="54">
        <v>87</v>
      </c>
      <c r="C84" s="55" t="s">
        <v>97</v>
      </c>
      <c r="D84" s="55">
        <v>65</v>
      </c>
      <c r="E84" s="55">
        <v>5</v>
      </c>
      <c r="F84" s="56">
        <v>70</v>
      </c>
      <c r="G84" s="56">
        <v>3</v>
      </c>
      <c r="H84" s="56" t="s">
        <v>35</v>
      </c>
      <c r="I84" s="56"/>
      <c r="J84" s="151"/>
      <c r="K84" s="207"/>
    </row>
    <row r="85" spans="2:11" x14ac:dyDescent="0.3">
      <c r="B85" s="54">
        <v>88</v>
      </c>
      <c r="C85" s="55" t="s">
        <v>98</v>
      </c>
      <c r="D85" s="55">
        <v>21</v>
      </c>
      <c r="E85" s="55">
        <v>2</v>
      </c>
      <c r="F85" s="56">
        <v>23</v>
      </c>
      <c r="G85" s="56">
        <v>1</v>
      </c>
      <c r="H85" s="56" t="s">
        <v>23</v>
      </c>
      <c r="I85" s="56"/>
      <c r="J85" s="151"/>
      <c r="K85" s="207"/>
    </row>
    <row r="86" spans="2:11" ht="26.4" x14ac:dyDescent="0.3">
      <c r="B86" s="54">
        <v>89</v>
      </c>
      <c r="C86" s="55" t="s">
        <v>99</v>
      </c>
      <c r="D86" s="55">
        <v>16</v>
      </c>
      <c r="E86" s="55">
        <v>1</v>
      </c>
      <c r="F86" s="56">
        <v>17</v>
      </c>
      <c r="G86" s="56">
        <v>0</v>
      </c>
      <c r="H86" s="56" t="s">
        <v>23</v>
      </c>
      <c r="I86" s="56"/>
      <c r="J86" s="151"/>
      <c r="K86" s="207"/>
    </row>
    <row r="87" spans="2:11" x14ac:dyDescent="0.3">
      <c r="B87" s="54">
        <v>90</v>
      </c>
      <c r="C87" s="55" t="s">
        <v>100</v>
      </c>
      <c r="D87" s="55">
        <v>33</v>
      </c>
      <c r="E87" s="55">
        <v>3</v>
      </c>
      <c r="F87" s="56">
        <v>36</v>
      </c>
      <c r="G87" s="56">
        <v>0</v>
      </c>
      <c r="H87" s="56" t="s">
        <v>23</v>
      </c>
      <c r="I87" s="56"/>
      <c r="J87" s="151"/>
      <c r="K87" s="207"/>
    </row>
    <row r="88" spans="2:11" ht="26.4" x14ac:dyDescent="0.3">
      <c r="B88" s="54">
        <v>91</v>
      </c>
      <c r="C88" s="55" t="s">
        <v>101</v>
      </c>
      <c r="D88" s="55">
        <v>28</v>
      </c>
      <c r="E88" s="55">
        <v>3</v>
      </c>
      <c r="F88" s="56">
        <v>31</v>
      </c>
      <c r="G88" s="56">
        <v>0</v>
      </c>
      <c r="H88" s="56" t="s">
        <v>23</v>
      </c>
      <c r="I88" s="56"/>
      <c r="J88" s="151"/>
      <c r="K88" s="207"/>
    </row>
    <row r="89" spans="2:11" x14ac:dyDescent="0.3">
      <c r="B89" s="54">
        <v>92</v>
      </c>
      <c r="C89" s="55" t="s">
        <v>102</v>
      </c>
      <c r="D89" s="55">
        <v>12</v>
      </c>
      <c r="E89" s="55">
        <v>2</v>
      </c>
      <c r="F89" s="56">
        <v>14</v>
      </c>
      <c r="G89" s="56">
        <v>1</v>
      </c>
      <c r="H89" s="56" t="s">
        <v>35</v>
      </c>
      <c r="I89" s="56"/>
      <c r="J89" s="151"/>
      <c r="K89" s="207"/>
    </row>
    <row r="90" spans="2:11" x14ac:dyDescent="0.3">
      <c r="B90" s="54">
        <v>93</v>
      </c>
      <c r="C90" s="55" t="s">
        <v>103</v>
      </c>
      <c r="D90" s="55">
        <v>21</v>
      </c>
      <c r="E90" s="55">
        <v>3</v>
      </c>
      <c r="F90" s="56">
        <v>24</v>
      </c>
      <c r="G90" s="56">
        <v>1</v>
      </c>
      <c r="H90" s="56" t="s">
        <v>35</v>
      </c>
      <c r="I90" s="56"/>
      <c r="J90" s="151"/>
      <c r="K90" s="207"/>
    </row>
    <row r="91" spans="2:11" x14ac:dyDescent="0.3">
      <c r="B91" s="54">
        <v>94</v>
      </c>
      <c r="C91" s="55" t="s">
        <v>104</v>
      </c>
      <c r="D91" s="55">
        <v>3</v>
      </c>
      <c r="E91" s="55"/>
      <c r="F91" s="56">
        <v>3</v>
      </c>
      <c r="G91" s="56">
        <v>1</v>
      </c>
      <c r="H91" s="56" t="s">
        <v>105</v>
      </c>
      <c r="I91" s="56"/>
      <c r="J91" s="151"/>
      <c r="K91" s="207"/>
    </row>
    <row r="92" spans="2:11" ht="26.4" x14ac:dyDescent="0.3">
      <c r="B92" s="54">
        <v>95</v>
      </c>
      <c r="C92" s="55" t="s">
        <v>106</v>
      </c>
      <c r="D92" s="55">
        <v>28</v>
      </c>
      <c r="E92" s="55">
        <v>0</v>
      </c>
      <c r="F92" s="56">
        <v>28</v>
      </c>
      <c r="G92" s="56">
        <v>2</v>
      </c>
      <c r="H92" s="56" t="s">
        <v>11</v>
      </c>
      <c r="I92" s="56"/>
      <c r="J92" s="151"/>
      <c r="K92" s="207"/>
    </row>
    <row r="93" spans="2:11" ht="26.4" x14ac:dyDescent="0.3">
      <c r="B93" s="54">
        <v>96</v>
      </c>
      <c r="C93" s="55" t="s">
        <v>107</v>
      </c>
      <c r="D93" s="55">
        <v>36</v>
      </c>
      <c r="E93" s="55">
        <v>0</v>
      </c>
      <c r="F93" s="56">
        <v>36</v>
      </c>
      <c r="G93" s="56">
        <v>2</v>
      </c>
      <c r="H93" s="56" t="s">
        <v>11</v>
      </c>
      <c r="I93" s="56"/>
      <c r="J93" s="134"/>
      <c r="K93" s="136"/>
    </row>
    <row r="94" spans="2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2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2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0">
    <mergeCell ref="K3:K8"/>
    <mergeCell ref="J9:J32"/>
    <mergeCell ref="B2:C2"/>
    <mergeCell ref="J66:J93"/>
    <mergeCell ref="B1:K1"/>
    <mergeCell ref="J33:J65"/>
    <mergeCell ref="K66:K93"/>
    <mergeCell ref="J3:J8"/>
    <mergeCell ref="K33:K65"/>
    <mergeCell ref="K9:K32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30" t="s">
        <v>304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2:11" s="3" customFormat="1" ht="24.6" customHeight="1" thickBot="1" x14ac:dyDescent="0.35">
      <c r="B2" s="122" t="s">
        <v>1</v>
      </c>
      <c r="C2" s="123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63</v>
      </c>
      <c r="G3" s="41">
        <v>3</v>
      </c>
      <c r="H3" s="41" t="s">
        <v>11</v>
      </c>
      <c r="I3" s="41"/>
      <c r="J3" s="42">
        <v>46285</v>
      </c>
      <c r="K3" s="43">
        <f>F3+G3</f>
        <v>66</v>
      </c>
    </row>
    <row r="4" spans="2:11" ht="19.95" customHeight="1" x14ac:dyDescent="0.3">
      <c r="B4" s="44"/>
      <c r="C4" s="45"/>
      <c r="D4" s="45"/>
      <c r="E4" s="45"/>
      <c r="F4" s="46"/>
      <c r="G4" s="46"/>
      <c r="H4" s="46"/>
      <c r="I4" s="46"/>
      <c r="J4" s="47"/>
      <c r="K4" s="48"/>
    </row>
    <row r="5" spans="2:11" ht="19.95" customHeight="1" x14ac:dyDescent="0.3">
      <c r="B5" s="49"/>
      <c r="C5" s="50"/>
      <c r="D5" s="50"/>
      <c r="E5" s="50"/>
      <c r="F5" s="51"/>
      <c r="G5" s="51"/>
      <c r="H5" s="51"/>
      <c r="I5" s="51"/>
      <c r="J5" s="52"/>
      <c r="K5" s="53"/>
    </row>
    <row r="6" spans="2:11" ht="19.95" customHeight="1" x14ac:dyDescent="0.3">
      <c r="B6" s="49"/>
      <c r="C6" s="50"/>
      <c r="D6" s="50"/>
      <c r="E6" s="50"/>
      <c r="F6" s="51"/>
      <c r="G6" s="51"/>
      <c r="H6" s="51"/>
      <c r="I6" s="51"/>
    </row>
    <row r="7" spans="2:11" ht="19.95" customHeight="1" x14ac:dyDescent="0.3">
      <c r="B7" s="49"/>
      <c r="C7" s="50"/>
      <c r="D7" s="50"/>
      <c r="E7" s="50"/>
      <c r="F7" s="51"/>
      <c r="G7" s="51"/>
      <c r="H7" s="51"/>
      <c r="I7" s="51"/>
    </row>
    <row r="8" spans="2:11" ht="19.95" customHeight="1" x14ac:dyDescent="0.3">
      <c r="B8" s="49"/>
      <c r="C8" s="50"/>
      <c r="D8" s="50"/>
      <c r="E8" s="50"/>
      <c r="F8" s="51"/>
      <c r="G8" s="51"/>
      <c r="H8" s="51"/>
      <c r="I8" s="51"/>
    </row>
    <row r="9" spans="2:11" ht="19.95" customHeight="1" thickBot="1" x14ac:dyDescent="0.35">
      <c r="B9" s="49"/>
      <c r="C9" s="50"/>
      <c r="D9" s="50"/>
      <c r="E9" s="50"/>
      <c r="F9" s="51"/>
      <c r="G9" s="51"/>
      <c r="H9" s="51"/>
      <c r="I9" s="51"/>
    </row>
    <row r="10" spans="2:11" ht="19.95" customHeight="1" x14ac:dyDescent="0.3">
      <c r="B10" s="49"/>
      <c r="C10" s="50"/>
      <c r="D10" s="50"/>
      <c r="E10" s="50"/>
      <c r="F10" s="51"/>
      <c r="G10" s="51"/>
      <c r="H10" s="51"/>
      <c r="I10" s="51"/>
    </row>
    <row r="11" spans="2:11" ht="19.95" customHeight="1" x14ac:dyDescent="0.3">
      <c r="B11" s="49"/>
      <c r="C11" s="50"/>
      <c r="D11" s="50"/>
      <c r="E11" s="50"/>
      <c r="F11" s="51"/>
      <c r="G11" s="51"/>
      <c r="H11" s="51"/>
      <c r="I11" s="51"/>
    </row>
    <row r="12" spans="2:11" ht="19.95" customHeight="1" x14ac:dyDescent="0.3">
      <c r="B12" s="49"/>
      <c r="C12" s="50"/>
      <c r="D12" s="50"/>
      <c r="E12" s="50"/>
      <c r="F12" s="51"/>
      <c r="G12" s="51"/>
      <c r="H12" s="51"/>
      <c r="I12" s="51"/>
    </row>
    <row r="13" spans="2:11" ht="19.95" customHeight="1" x14ac:dyDescent="0.3">
      <c r="B13" s="49"/>
      <c r="C13" s="50"/>
      <c r="D13" s="50"/>
      <c r="E13" s="50"/>
      <c r="F13" s="51"/>
      <c r="G13" s="51"/>
      <c r="H13" s="51"/>
      <c r="I13" s="51"/>
    </row>
    <row r="14" spans="2:11" ht="19.95" customHeight="1" x14ac:dyDescent="0.3">
      <c r="B14" s="49"/>
      <c r="C14" s="50"/>
      <c r="D14" s="50"/>
      <c r="E14" s="50"/>
      <c r="F14" s="51"/>
      <c r="G14" s="51"/>
      <c r="H14" s="51"/>
      <c r="I14" s="51"/>
    </row>
    <row r="15" spans="2:11" ht="19.95" customHeight="1" thickBot="1" x14ac:dyDescent="0.35">
      <c r="B15" s="49"/>
      <c r="C15" s="50"/>
      <c r="D15" s="50"/>
      <c r="E15" s="50"/>
      <c r="F15" s="51"/>
      <c r="G15" s="51"/>
      <c r="H15" s="51"/>
      <c r="I15" s="51"/>
    </row>
    <row r="16" spans="2:11" ht="19.95" customHeight="1" x14ac:dyDescent="0.3">
      <c r="B16" s="49"/>
      <c r="C16" s="50"/>
      <c r="D16" s="50"/>
      <c r="E16" s="50"/>
      <c r="F16" s="51"/>
      <c r="G16" s="51"/>
      <c r="H16" s="51"/>
      <c r="I16" s="51"/>
    </row>
    <row r="17" spans="2:11" ht="19.95" customHeight="1" x14ac:dyDescent="0.3">
      <c r="B17" s="49"/>
      <c r="C17" s="50"/>
      <c r="D17" s="50"/>
      <c r="E17" s="50"/>
      <c r="F17" s="51"/>
      <c r="G17" s="51"/>
      <c r="H17" s="51"/>
      <c r="I17" s="51"/>
    </row>
    <row r="18" spans="2:11" ht="19.95" customHeight="1" x14ac:dyDescent="0.3">
      <c r="B18" s="49"/>
      <c r="C18" s="50"/>
      <c r="D18" s="50"/>
      <c r="E18" s="50"/>
      <c r="F18" s="51"/>
      <c r="G18" s="51"/>
      <c r="H18" s="51"/>
      <c r="I18" s="51"/>
    </row>
    <row r="19" spans="2:11" ht="19.95" customHeight="1" x14ac:dyDescent="0.3">
      <c r="B19" s="49"/>
      <c r="C19" s="50"/>
      <c r="D19" s="50"/>
      <c r="E19" s="50"/>
      <c r="F19" s="51"/>
      <c r="G19" s="51"/>
      <c r="H19" s="51"/>
      <c r="I19" s="51"/>
    </row>
    <row r="20" spans="2:11" ht="19.95" customHeight="1" x14ac:dyDescent="0.3">
      <c r="B20" s="49"/>
      <c r="C20" s="50"/>
      <c r="D20" s="50"/>
      <c r="E20" s="50"/>
      <c r="F20" s="51"/>
      <c r="G20" s="51"/>
      <c r="H20" s="51"/>
      <c r="I20" s="51"/>
    </row>
    <row r="21" spans="2:11" ht="19.95" customHeight="1" x14ac:dyDescent="0.3">
      <c r="B21" s="49"/>
      <c r="C21" s="50"/>
      <c r="D21" s="50"/>
      <c r="E21" s="50"/>
      <c r="F21" s="51"/>
      <c r="G21" s="51"/>
      <c r="H21" s="51"/>
      <c r="I21" s="51"/>
    </row>
    <row r="22" spans="2:11" ht="19.95" customHeight="1" thickBot="1" x14ac:dyDescent="0.35">
      <c r="B22" s="49"/>
      <c r="C22" s="50"/>
      <c r="D22" s="50"/>
      <c r="E22" s="50"/>
      <c r="F22" s="51"/>
      <c r="G22" s="51"/>
      <c r="H22" s="51"/>
      <c r="I22" s="51"/>
    </row>
    <row r="23" spans="2:11" ht="21.6" customHeight="1" x14ac:dyDescent="0.3">
      <c r="B23" s="49"/>
      <c r="C23" s="50"/>
      <c r="D23" s="50"/>
      <c r="E23" s="50"/>
      <c r="F23" s="51"/>
      <c r="G23" s="51"/>
      <c r="H23" s="51"/>
      <c r="I23" s="51"/>
    </row>
    <row r="24" spans="2:11" ht="21.6" customHeight="1" x14ac:dyDescent="0.3">
      <c r="B24" s="49"/>
      <c r="C24" s="50"/>
      <c r="D24" s="50"/>
      <c r="E24" s="50"/>
      <c r="F24" s="51"/>
      <c r="G24" s="51"/>
      <c r="H24" s="51"/>
      <c r="I24" s="51"/>
    </row>
    <row r="25" spans="2:11" ht="21.6" customHeight="1" x14ac:dyDescent="0.3">
      <c r="B25" s="49"/>
      <c r="C25" s="50"/>
      <c r="D25" s="50"/>
      <c r="E25" s="50"/>
      <c r="F25" s="51"/>
      <c r="G25" s="51"/>
      <c r="H25" s="51"/>
      <c r="I25" s="51"/>
    </row>
    <row r="26" spans="2:11" ht="21.6" customHeight="1" x14ac:dyDescent="0.3">
      <c r="B26" s="49"/>
      <c r="C26" s="50"/>
      <c r="D26" s="50"/>
      <c r="E26" s="50"/>
      <c r="F26" s="51"/>
      <c r="G26" s="51"/>
      <c r="H26" s="51"/>
      <c r="I26" s="51"/>
    </row>
    <row r="27" spans="2:11" ht="21.6" customHeight="1" x14ac:dyDescent="0.3">
      <c r="B27" s="49"/>
      <c r="C27" s="50"/>
      <c r="D27" s="50"/>
      <c r="E27" s="50"/>
      <c r="F27" s="51"/>
      <c r="G27" s="51"/>
      <c r="H27" s="51"/>
      <c r="I27" s="51"/>
    </row>
    <row r="28" spans="2:11" ht="21.6" customHeight="1" x14ac:dyDescent="0.3">
      <c r="B28" s="49"/>
      <c r="C28" s="50"/>
      <c r="D28" s="50"/>
      <c r="E28" s="50"/>
      <c r="F28" s="51"/>
      <c r="G28" s="51"/>
      <c r="H28" s="51"/>
      <c r="I28" s="51"/>
    </row>
    <row r="29" spans="2:11" ht="21.6" customHeight="1" x14ac:dyDescent="0.3">
      <c r="B29" s="54"/>
      <c r="C29" s="55"/>
      <c r="D29" s="55"/>
      <c r="E29" s="55"/>
      <c r="F29" s="56"/>
      <c r="G29" s="56"/>
      <c r="H29" s="56"/>
      <c r="I29" s="56"/>
      <c r="J29" s="57"/>
      <c r="K29" s="58"/>
    </row>
    <row r="30" spans="2:11" ht="21.6" customHeight="1" thickBot="1" x14ac:dyDescent="0.35">
      <c r="B30" s="54"/>
      <c r="C30" s="55"/>
      <c r="D30" s="55"/>
      <c r="E30" s="55"/>
      <c r="F30" s="56"/>
      <c r="G30" s="56"/>
      <c r="H30" s="56"/>
      <c r="I30" s="56"/>
    </row>
    <row r="31" spans="2:11" ht="21.6" customHeight="1" x14ac:dyDescent="0.3">
      <c r="B31" s="59"/>
      <c r="C31" s="60"/>
      <c r="D31" s="60"/>
      <c r="E31" s="60"/>
      <c r="F31" s="61"/>
      <c r="G31" s="61"/>
      <c r="H31" s="61"/>
      <c r="I31" s="61"/>
      <c r="J31" s="62"/>
      <c r="K31" s="63"/>
    </row>
    <row r="32" spans="2:11" ht="21.6" customHeight="1" x14ac:dyDescent="0.3">
      <c r="B32" s="59"/>
      <c r="C32" s="60"/>
      <c r="D32" s="60"/>
      <c r="E32" s="60"/>
      <c r="F32" s="61"/>
      <c r="G32" s="61"/>
      <c r="H32" s="61"/>
      <c r="I32" s="61"/>
    </row>
    <row r="33" spans="2:9" ht="21.6" customHeight="1" x14ac:dyDescent="0.3">
      <c r="B33" s="59"/>
      <c r="C33" s="60"/>
      <c r="D33" s="60"/>
      <c r="E33" s="60"/>
      <c r="F33" s="61"/>
      <c r="G33" s="61"/>
      <c r="H33" s="61"/>
      <c r="I33" s="61"/>
    </row>
    <row r="34" spans="2:9" ht="21.6" customHeight="1" x14ac:dyDescent="0.3">
      <c r="B34" s="59"/>
      <c r="C34" s="60"/>
      <c r="D34" s="60"/>
      <c r="E34" s="60"/>
      <c r="F34" s="61"/>
      <c r="G34" s="61"/>
      <c r="H34" s="61"/>
      <c r="I34" s="61"/>
    </row>
    <row r="35" spans="2:9" ht="21.6" customHeight="1" x14ac:dyDescent="0.3">
      <c r="B35" s="59"/>
      <c r="C35" s="60"/>
      <c r="D35" s="60"/>
      <c r="E35" s="60"/>
      <c r="F35" s="61"/>
      <c r="G35" s="61"/>
      <c r="H35" s="61"/>
      <c r="I35" s="61"/>
    </row>
    <row r="36" spans="2:9" ht="21.6" customHeight="1" x14ac:dyDescent="0.3">
      <c r="B36" s="59"/>
      <c r="C36" s="60"/>
      <c r="D36" s="60"/>
      <c r="E36" s="60"/>
      <c r="F36" s="61"/>
      <c r="G36" s="61"/>
      <c r="H36" s="61"/>
      <c r="I36" s="61"/>
    </row>
    <row r="37" spans="2:9" ht="21.6" customHeight="1" x14ac:dyDescent="0.3">
      <c r="B37" s="59"/>
      <c r="C37" s="60"/>
      <c r="D37" s="60"/>
      <c r="E37" s="60"/>
      <c r="F37" s="61"/>
      <c r="G37" s="61"/>
      <c r="H37" s="61"/>
      <c r="I37" s="61"/>
    </row>
    <row r="38" spans="2:9" ht="21.6" customHeight="1" x14ac:dyDescent="0.3">
      <c r="B38" s="59"/>
      <c r="C38" s="60"/>
      <c r="D38" s="60"/>
      <c r="E38" s="60"/>
      <c r="F38" s="61"/>
      <c r="G38" s="61"/>
      <c r="H38" s="61"/>
      <c r="I38" s="61"/>
    </row>
    <row r="39" spans="2:9" ht="21.6" customHeight="1" x14ac:dyDescent="0.3">
      <c r="B39" s="59"/>
      <c r="C39" s="60"/>
      <c r="D39" s="60"/>
      <c r="E39" s="60"/>
      <c r="F39" s="61"/>
      <c r="G39" s="61"/>
      <c r="H39" s="61"/>
      <c r="I39" s="61"/>
    </row>
    <row r="40" spans="2:9" ht="21.6" customHeight="1" x14ac:dyDescent="0.3">
      <c r="B40" s="59"/>
      <c r="C40" s="60"/>
      <c r="D40" s="60"/>
      <c r="E40" s="60"/>
      <c r="F40" s="61"/>
      <c r="G40" s="61"/>
      <c r="H40" s="61"/>
      <c r="I40" s="61"/>
    </row>
    <row r="41" spans="2:9" ht="21.6" customHeight="1" thickBot="1" x14ac:dyDescent="0.35">
      <c r="B41" s="59"/>
      <c r="C41" s="60"/>
      <c r="D41" s="60"/>
      <c r="E41" s="60"/>
      <c r="F41" s="61"/>
      <c r="G41" s="61"/>
      <c r="H41" s="61"/>
      <c r="I41" s="61"/>
    </row>
    <row r="42" spans="2:9" ht="21.6" customHeight="1" x14ac:dyDescent="0.3">
      <c r="B42" s="59"/>
      <c r="C42" s="60"/>
      <c r="D42" s="60"/>
      <c r="E42" s="60"/>
      <c r="F42" s="61"/>
      <c r="G42" s="61"/>
      <c r="H42" s="61"/>
      <c r="I42" s="61"/>
    </row>
    <row r="43" spans="2:9" ht="21.6" customHeight="1" x14ac:dyDescent="0.3">
      <c r="B43" s="59"/>
      <c r="C43" s="60"/>
      <c r="D43" s="60"/>
      <c r="E43" s="60"/>
      <c r="F43" s="61"/>
      <c r="G43" s="61"/>
      <c r="H43" s="61"/>
      <c r="I43" s="61"/>
    </row>
    <row r="44" spans="2:9" ht="21.6" customHeight="1" x14ac:dyDescent="0.3">
      <c r="B44" s="59"/>
      <c r="C44" s="60"/>
      <c r="D44" s="60"/>
      <c r="E44" s="60"/>
      <c r="F44" s="61"/>
      <c r="G44" s="61"/>
      <c r="H44" s="61"/>
      <c r="I44" s="61"/>
    </row>
    <row r="45" spans="2:9" ht="21.6" customHeight="1" x14ac:dyDescent="0.3">
      <c r="B45" s="59"/>
      <c r="C45" s="60"/>
      <c r="D45" s="60"/>
      <c r="E45" s="60"/>
      <c r="F45" s="61"/>
      <c r="G45" s="61"/>
      <c r="H45" s="61"/>
      <c r="I45" s="61"/>
    </row>
    <row r="46" spans="2:9" ht="21.6" customHeight="1" x14ac:dyDescent="0.3">
      <c r="B46" s="59"/>
      <c r="C46" s="60"/>
      <c r="D46" s="60"/>
      <c r="E46" s="60"/>
      <c r="F46" s="61"/>
      <c r="G46" s="61"/>
      <c r="H46" s="61"/>
      <c r="I46" s="61"/>
    </row>
    <row r="47" spans="2:9" ht="21.6" customHeight="1" x14ac:dyDescent="0.3">
      <c r="B47" s="59"/>
      <c r="C47" s="60"/>
      <c r="D47" s="60"/>
      <c r="E47" s="60"/>
      <c r="F47" s="61"/>
      <c r="G47" s="61"/>
      <c r="H47" s="61"/>
      <c r="I47" s="61"/>
    </row>
    <row r="48" spans="2:9" ht="21.6" customHeight="1" thickBot="1" x14ac:dyDescent="0.35">
      <c r="B48" s="59"/>
      <c r="C48" s="60"/>
      <c r="D48" s="60"/>
      <c r="E48" s="60"/>
      <c r="F48" s="61"/>
      <c r="G48" s="61"/>
      <c r="H48" s="61"/>
      <c r="I48" s="61"/>
    </row>
    <row r="49" spans="2:11" ht="21" customHeight="1" x14ac:dyDescent="0.3">
      <c r="B49" s="59"/>
      <c r="C49" s="60"/>
      <c r="D49" s="60"/>
      <c r="E49" s="60"/>
      <c r="F49" s="61"/>
      <c r="G49" s="61"/>
      <c r="H49" s="61"/>
      <c r="I49" s="61"/>
    </row>
    <row r="50" spans="2:11" ht="21" customHeight="1" x14ac:dyDescent="0.3">
      <c r="B50" s="59"/>
      <c r="C50" s="60"/>
      <c r="D50" s="60"/>
      <c r="E50" s="60"/>
      <c r="F50" s="61"/>
      <c r="G50" s="61"/>
      <c r="H50" s="61"/>
      <c r="I50" s="61"/>
    </row>
    <row r="51" spans="2:11" ht="21" customHeight="1" x14ac:dyDescent="0.3">
      <c r="B51" s="59"/>
      <c r="C51" s="60"/>
      <c r="D51" s="60"/>
      <c r="E51" s="60"/>
      <c r="F51" s="61"/>
      <c r="G51" s="61"/>
      <c r="H51" s="61"/>
      <c r="I51" s="61"/>
    </row>
    <row r="52" spans="2:11" ht="21" customHeight="1" x14ac:dyDescent="0.3">
      <c r="B52" s="59"/>
      <c r="C52" s="60"/>
      <c r="D52" s="60"/>
      <c r="E52" s="60"/>
      <c r="F52" s="61"/>
      <c r="G52" s="61"/>
      <c r="H52" s="61"/>
      <c r="I52" s="61"/>
    </row>
    <row r="53" spans="2:11" ht="21" customHeight="1" thickBot="1" x14ac:dyDescent="0.35">
      <c r="B53" s="59"/>
      <c r="C53" s="60"/>
      <c r="D53" s="60"/>
      <c r="E53" s="60"/>
      <c r="F53" s="61"/>
      <c r="G53" s="61"/>
      <c r="H53" s="61"/>
      <c r="I53" s="61"/>
    </row>
    <row r="54" spans="2:11" ht="21" customHeight="1" x14ac:dyDescent="0.3">
      <c r="B54" s="59"/>
      <c r="C54" s="60"/>
      <c r="D54" s="60"/>
      <c r="E54" s="60"/>
      <c r="F54" s="61"/>
      <c r="G54" s="61"/>
      <c r="H54" s="61"/>
      <c r="I54" s="61"/>
    </row>
    <row r="55" spans="2:11" ht="21" customHeight="1" x14ac:dyDescent="0.3">
      <c r="B55" s="59"/>
      <c r="C55" s="60"/>
      <c r="D55" s="60"/>
      <c r="E55" s="60"/>
      <c r="F55" s="61"/>
      <c r="G55" s="61"/>
      <c r="H55" s="61"/>
      <c r="I55" s="61"/>
    </row>
    <row r="56" spans="2:11" ht="21" customHeight="1" x14ac:dyDescent="0.3">
      <c r="B56" s="59"/>
      <c r="C56" s="60"/>
      <c r="D56" s="60"/>
      <c r="E56" s="60"/>
      <c r="F56" s="61"/>
      <c r="G56" s="61"/>
      <c r="H56" s="61"/>
      <c r="I56" s="61"/>
    </row>
    <row r="57" spans="2:11" ht="21" customHeight="1" x14ac:dyDescent="0.3">
      <c r="B57" s="59"/>
      <c r="C57" s="60"/>
      <c r="D57" s="60"/>
      <c r="E57" s="60"/>
      <c r="F57" s="61"/>
      <c r="G57" s="61"/>
      <c r="H57" s="61"/>
      <c r="I57" s="61"/>
    </row>
    <row r="58" spans="2:11" ht="21" customHeight="1" x14ac:dyDescent="0.3">
      <c r="B58" s="59"/>
      <c r="C58" s="60"/>
      <c r="D58" s="60"/>
      <c r="E58" s="60"/>
      <c r="F58" s="61"/>
      <c r="G58" s="61"/>
      <c r="H58" s="61"/>
      <c r="I58" s="61"/>
    </row>
    <row r="59" spans="2:11" ht="21" customHeight="1" x14ac:dyDescent="0.3">
      <c r="B59" s="59"/>
      <c r="C59" s="60"/>
      <c r="D59" s="60"/>
      <c r="E59" s="60"/>
      <c r="F59" s="61"/>
      <c r="G59" s="61"/>
      <c r="H59" s="61"/>
      <c r="I59" s="61"/>
    </row>
    <row r="60" spans="2:11" ht="21" customHeight="1" x14ac:dyDescent="0.3">
      <c r="B60" s="59"/>
      <c r="C60" s="60"/>
      <c r="D60" s="60"/>
      <c r="E60" s="60"/>
      <c r="F60" s="61"/>
      <c r="G60" s="61"/>
      <c r="H60" s="61"/>
      <c r="I60" s="61"/>
    </row>
    <row r="61" spans="2:11" ht="21" customHeight="1" thickBot="1" x14ac:dyDescent="0.35">
      <c r="B61" s="59"/>
      <c r="C61" s="60"/>
      <c r="D61" s="60"/>
      <c r="E61" s="60"/>
      <c r="F61" s="61"/>
      <c r="G61" s="61"/>
      <c r="H61" s="61"/>
      <c r="I61" s="61"/>
    </row>
    <row r="62" spans="2:11" ht="21" customHeight="1" x14ac:dyDescent="0.3">
      <c r="B62" s="59"/>
      <c r="C62" s="60"/>
      <c r="D62" s="60"/>
      <c r="E62" s="60"/>
      <c r="F62" s="61"/>
      <c r="G62" s="61"/>
      <c r="H62" s="61"/>
      <c r="I62" s="61"/>
    </row>
    <row r="63" spans="2:11" ht="21" customHeight="1" x14ac:dyDescent="0.3">
      <c r="B63" s="59"/>
      <c r="C63" s="60"/>
      <c r="D63" s="60"/>
      <c r="E63" s="60"/>
      <c r="F63" s="61"/>
      <c r="G63" s="61"/>
      <c r="H63" s="61"/>
      <c r="I63" s="61"/>
    </row>
    <row r="64" spans="2:11" ht="21" customHeight="1" x14ac:dyDescent="0.3">
      <c r="B64" s="64"/>
      <c r="C64" s="65"/>
      <c r="D64" s="65"/>
      <c r="E64" s="65"/>
      <c r="F64" s="66"/>
      <c r="G64" s="66"/>
      <c r="H64" s="66"/>
      <c r="I64" s="66"/>
      <c r="J64" s="67"/>
      <c r="K64" s="68"/>
    </row>
    <row r="65" spans="2:9" ht="21" customHeight="1" x14ac:dyDescent="0.3">
      <c r="B65" s="64"/>
      <c r="C65" s="65"/>
      <c r="D65" s="65"/>
      <c r="E65" s="65"/>
      <c r="F65" s="66"/>
      <c r="G65" s="66"/>
      <c r="H65" s="66"/>
      <c r="I65" s="66"/>
    </row>
    <row r="66" spans="2:9" ht="21" customHeight="1" x14ac:dyDescent="0.3">
      <c r="B66" s="64"/>
      <c r="C66" s="65"/>
      <c r="D66" s="65"/>
      <c r="E66" s="65"/>
      <c r="F66" s="66"/>
      <c r="G66" s="66"/>
      <c r="H66" s="66"/>
      <c r="I66" s="66"/>
    </row>
    <row r="67" spans="2:9" ht="21" customHeight="1" x14ac:dyDescent="0.3">
      <c r="B67" s="64"/>
      <c r="C67" s="65"/>
      <c r="D67" s="65"/>
      <c r="E67" s="65"/>
      <c r="F67" s="66"/>
      <c r="G67" s="66"/>
      <c r="H67" s="66"/>
      <c r="I67" s="66"/>
    </row>
    <row r="68" spans="2:9" ht="21" customHeight="1" x14ac:dyDescent="0.3">
      <c r="B68" s="64"/>
      <c r="C68" s="65"/>
      <c r="D68" s="65"/>
      <c r="E68" s="65"/>
      <c r="F68" s="66"/>
      <c r="G68" s="66"/>
      <c r="H68" s="66"/>
      <c r="I68" s="66"/>
    </row>
    <row r="69" spans="2:9" ht="21" customHeight="1" x14ac:dyDescent="0.3">
      <c r="B69" s="64"/>
      <c r="C69" s="65"/>
      <c r="D69" s="65"/>
      <c r="E69" s="65"/>
      <c r="F69" s="66"/>
      <c r="G69" s="66"/>
      <c r="H69" s="66"/>
      <c r="I69" s="66"/>
    </row>
    <row r="70" spans="2:9" ht="21" customHeight="1" thickBot="1" x14ac:dyDescent="0.35">
      <c r="B70" s="64"/>
      <c r="C70" s="65"/>
      <c r="D70" s="65"/>
      <c r="E70" s="65"/>
      <c r="F70" s="66"/>
      <c r="G70" s="66"/>
      <c r="H70" s="66"/>
      <c r="I70" s="66"/>
    </row>
    <row r="71" spans="2:9" ht="22.95" customHeight="1" thickBot="1" x14ac:dyDescent="0.35">
      <c r="B71" s="64"/>
      <c r="C71" s="65"/>
      <c r="D71" s="65"/>
      <c r="E71" s="65"/>
      <c r="F71" s="66"/>
      <c r="G71" s="66"/>
      <c r="H71" s="66"/>
      <c r="I71" s="66"/>
    </row>
    <row r="72" spans="2:9" ht="19.2" customHeight="1" x14ac:dyDescent="0.3">
      <c r="B72" s="64"/>
      <c r="C72" s="65"/>
      <c r="D72" s="65"/>
      <c r="E72" s="65"/>
      <c r="F72" s="66"/>
      <c r="G72" s="66"/>
      <c r="H72" s="66"/>
      <c r="I72" s="66"/>
    </row>
    <row r="73" spans="2:9" ht="19.2" customHeight="1" x14ac:dyDescent="0.3">
      <c r="B73" s="64"/>
      <c r="C73" s="65"/>
      <c r="D73" s="65"/>
      <c r="E73" s="65"/>
      <c r="F73" s="66"/>
      <c r="G73" s="66"/>
      <c r="H73" s="66"/>
      <c r="I73" s="66"/>
    </row>
    <row r="74" spans="2:9" x14ac:dyDescent="0.3">
      <c r="B74" s="64"/>
      <c r="C74" s="65"/>
      <c r="D74" s="65"/>
      <c r="E74" s="65"/>
      <c r="F74" s="66"/>
      <c r="G74" s="66"/>
      <c r="H74" s="66"/>
      <c r="I74" s="66"/>
    </row>
    <row r="75" spans="2:9" x14ac:dyDescent="0.3">
      <c r="B75" s="64"/>
      <c r="C75" s="65"/>
      <c r="D75" s="65"/>
      <c r="E75" s="65"/>
      <c r="F75" s="66"/>
      <c r="G75" s="66"/>
      <c r="H75" s="66"/>
      <c r="I75" s="66"/>
    </row>
    <row r="76" spans="2:9" x14ac:dyDescent="0.3">
      <c r="B76" s="64"/>
      <c r="C76" s="65"/>
      <c r="D76" s="65"/>
      <c r="E76" s="65"/>
      <c r="F76" s="66"/>
      <c r="G76" s="66"/>
      <c r="H76" s="66"/>
      <c r="I76" s="66"/>
    </row>
    <row r="77" spans="2:9" x14ac:dyDescent="0.3">
      <c r="B77" s="64"/>
      <c r="C77" s="65"/>
      <c r="D77" s="65"/>
      <c r="E77" s="65"/>
      <c r="F77" s="66"/>
      <c r="G77" s="66"/>
      <c r="H77" s="66"/>
      <c r="I77" s="66"/>
    </row>
    <row r="78" spans="2:9" x14ac:dyDescent="0.3">
      <c r="B78" s="64"/>
      <c r="C78" s="65"/>
      <c r="D78" s="65"/>
      <c r="E78" s="65"/>
      <c r="F78" s="66"/>
      <c r="G78" s="66"/>
      <c r="H78" s="66"/>
      <c r="I78" s="66"/>
    </row>
    <row r="79" spans="2:9" x14ac:dyDescent="0.3">
      <c r="B79" s="64"/>
      <c r="C79" s="65"/>
      <c r="D79" s="65"/>
      <c r="E79" s="65"/>
      <c r="F79" s="66"/>
      <c r="G79" s="66"/>
      <c r="H79" s="66"/>
      <c r="I79" s="66"/>
    </row>
    <row r="80" spans="2:9" x14ac:dyDescent="0.3">
      <c r="B80" s="64"/>
      <c r="C80" s="65"/>
      <c r="D80" s="65"/>
      <c r="E80" s="65"/>
      <c r="F80" s="66"/>
      <c r="G80" s="66"/>
      <c r="H80" s="66"/>
      <c r="I80" s="66"/>
    </row>
    <row r="81" spans="2:11" x14ac:dyDescent="0.3">
      <c r="B81" s="64"/>
      <c r="C81" s="65"/>
      <c r="D81" s="65"/>
      <c r="E81" s="65"/>
      <c r="F81" s="66"/>
      <c r="G81" s="66"/>
      <c r="H81" s="66"/>
      <c r="I81" s="66"/>
    </row>
    <row r="82" spans="2:11" x14ac:dyDescent="0.3">
      <c r="B82" s="64"/>
      <c r="C82" s="65"/>
      <c r="D82" s="65"/>
      <c r="E82" s="65"/>
      <c r="F82" s="66"/>
      <c r="G82" s="66"/>
      <c r="H82" s="66"/>
      <c r="I82" s="66"/>
    </row>
    <row r="83" spans="2:11" x14ac:dyDescent="0.3">
      <c r="B83" s="64"/>
      <c r="C83" s="65"/>
      <c r="D83" s="65"/>
      <c r="E83" s="65"/>
      <c r="F83" s="66"/>
      <c r="G83" s="66"/>
      <c r="H83" s="66"/>
      <c r="I83" s="66"/>
    </row>
    <row r="84" spans="2:11" x14ac:dyDescent="0.3">
      <c r="B84" s="64"/>
      <c r="C84" s="65"/>
      <c r="D84" s="65"/>
      <c r="E84" s="65"/>
      <c r="F84" s="66"/>
      <c r="G84" s="66"/>
      <c r="H84" s="66"/>
      <c r="I84" s="66"/>
    </row>
    <row r="85" spans="2:11" x14ac:dyDescent="0.3">
      <c r="B85" s="64"/>
      <c r="C85" s="65"/>
      <c r="D85" s="65"/>
      <c r="E85" s="65"/>
      <c r="F85" s="66"/>
      <c r="G85" s="66"/>
      <c r="H85" s="66"/>
      <c r="I85" s="66"/>
    </row>
    <row r="86" spans="2:11" x14ac:dyDescent="0.3">
      <c r="B86" s="64"/>
      <c r="C86" s="65"/>
      <c r="D86" s="65"/>
      <c r="E86" s="65"/>
      <c r="F86" s="66"/>
      <c r="G86" s="66"/>
      <c r="H86" s="66"/>
      <c r="I86" s="66"/>
    </row>
    <row r="87" spans="2:11" x14ac:dyDescent="0.3">
      <c r="B87" s="64"/>
      <c r="C87" s="65"/>
      <c r="D87" s="65"/>
      <c r="E87" s="65"/>
      <c r="F87" s="66"/>
      <c r="G87" s="66"/>
      <c r="H87" s="66"/>
      <c r="I87" s="66"/>
    </row>
    <row r="88" spans="2:11" x14ac:dyDescent="0.3">
      <c r="B88" s="64"/>
      <c r="C88" s="65"/>
      <c r="D88" s="65"/>
      <c r="E88" s="65"/>
      <c r="F88" s="66"/>
      <c r="G88" s="66"/>
      <c r="H88" s="66"/>
      <c r="I88" s="66"/>
    </row>
    <row r="89" spans="2:11" x14ac:dyDescent="0.3">
      <c r="B89" s="64"/>
      <c r="C89" s="65"/>
      <c r="D89" s="65"/>
      <c r="E89" s="65"/>
      <c r="F89" s="66"/>
      <c r="G89" s="66"/>
      <c r="H89" s="66"/>
      <c r="I89" s="66"/>
    </row>
    <row r="90" spans="2:11" x14ac:dyDescent="0.3">
      <c r="B90" s="64"/>
      <c r="C90" s="65"/>
      <c r="D90" s="65"/>
      <c r="E90" s="65"/>
      <c r="F90" s="66"/>
      <c r="G90" s="66"/>
      <c r="H90" s="66"/>
      <c r="I90" s="66"/>
    </row>
    <row r="91" spans="2:11" x14ac:dyDescent="0.3">
      <c r="B91" s="64"/>
      <c r="C91" s="65"/>
      <c r="D91" s="65"/>
      <c r="E91" s="65"/>
      <c r="F91" s="66"/>
      <c r="G91" s="66"/>
      <c r="H91" s="66"/>
      <c r="I91" s="66"/>
    </row>
    <row r="92" spans="2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2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2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2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2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30" t="s">
        <v>305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2:11" s="3" customFormat="1" ht="24.6" customHeight="1" thickBot="1" x14ac:dyDescent="0.35">
      <c r="B2" s="122" t="s">
        <v>1</v>
      </c>
      <c r="C2" s="123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63</v>
      </c>
      <c r="G3" s="41">
        <v>3</v>
      </c>
      <c r="H3" s="41" t="s">
        <v>11</v>
      </c>
      <c r="I3" s="41"/>
      <c r="J3" s="42">
        <v>46287</v>
      </c>
      <c r="K3" s="43">
        <f>F3+G3</f>
        <v>66</v>
      </c>
    </row>
    <row r="4" spans="2:11" ht="19.95" customHeight="1" x14ac:dyDescent="0.3">
      <c r="B4" s="44">
        <v>2</v>
      </c>
      <c r="C4" s="45" t="s">
        <v>292</v>
      </c>
      <c r="D4" s="45">
        <v>19</v>
      </c>
      <c r="E4" s="45">
        <v>4</v>
      </c>
      <c r="F4" s="46">
        <v>23</v>
      </c>
      <c r="G4" s="46">
        <v>2</v>
      </c>
      <c r="H4" s="46" t="s">
        <v>23</v>
      </c>
      <c r="I4" s="46"/>
      <c r="J4" s="47">
        <v>46350</v>
      </c>
      <c r="K4" s="48">
        <f>F4+G4</f>
        <v>25</v>
      </c>
    </row>
    <row r="5" spans="2:11" ht="19.95" customHeight="1" x14ac:dyDescent="0.3">
      <c r="B5" s="49"/>
      <c r="C5" s="50"/>
      <c r="D5" s="50"/>
      <c r="E5" s="50"/>
      <c r="F5" s="51"/>
      <c r="G5" s="51"/>
      <c r="H5" s="51"/>
      <c r="I5" s="51"/>
      <c r="J5" s="52"/>
      <c r="K5" s="53"/>
    </row>
    <row r="6" spans="2:11" ht="19.95" customHeight="1" x14ac:dyDescent="0.3">
      <c r="B6" s="49"/>
      <c r="C6" s="50"/>
      <c r="D6" s="50"/>
      <c r="E6" s="50"/>
      <c r="F6" s="51"/>
      <c r="G6" s="51"/>
      <c r="H6" s="51"/>
      <c r="I6" s="51"/>
    </row>
    <row r="7" spans="2:11" ht="19.95" customHeight="1" x14ac:dyDescent="0.3">
      <c r="B7" s="49"/>
      <c r="C7" s="50"/>
      <c r="D7" s="50"/>
      <c r="E7" s="50"/>
      <c r="F7" s="51"/>
      <c r="G7" s="51"/>
      <c r="H7" s="51"/>
      <c r="I7" s="51"/>
    </row>
    <row r="8" spans="2:11" ht="19.95" customHeight="1" x14ac:dyDescent="0.3">
      <c r="B8" s="49"/>
      <c r="C8" s="50"/>
      <c r="D8" s="50"/>
      <c r="E8" s="50"/>
      <c r="F8" s="51"/>
      <c r="G8" s="51"/>
      <c r="H8" s="51"/>
      <c r="I8" s="51"/>
    </row>
    <row r="9" spans="2:11" ht="19.95" customHeight="1" thickBot="1" x14ac:dyDescent="0.35">
      <c r="B9" s="49"/>
      <c r="C9" s="50"/>
      <c r="D9" s="50"/>
      <c r="E9" s="50"/>
      <c r="F9" s="51"/>
      <c r="G9" s="51"/>
      <c r="H9" s="51"/>
      <c r="I9" s="51"/>
    </row>
    <row r="10" spans="2:11" ht="19.95" customHeight="1" x14ac:dyDescent="0.3">
      <c r="B10" s="49"/>
      <c r="C10" s="50"/>
      <c r="D10" s="50"/>
      <c r="E10" s="50"/>
      <c r="F10" s="51"/>
      <c r="G10" s="51"/>
      <c r="H10" s="51"/>
      <c r="I10" s="51"/>
    </row>
    <row r="11" spans="2:11" ht="19.95" customHeight="1" x14ac:dyDescent="0.3">
      <c r="B11" s="49"/>
      <c r="C11" s="50"/>
      <c r="D11" s="50"/>
      <c r="E11" s="50"/>
      <c r="F11" s="51"/>
      <c r="G11" s="51"/>
      <c r="H11" s="51"/>
      <c r="I11" s="51"/>
    </row>
    <row r="12" spans="2:11" ht="19.95" customHeight="1" x14ac:dyDescent="0.3">
      <c r="B12" s="49"/>
      <c r="C12" s="50"/>
      <c r="D12" s="50"/>
      <c r="E12" s="50"/>
      <c r="F12" s="51"/>
      <c r="G12" s="51"/>
      <c r="H12" s="51"/>
      <c r="I12" s="51"/>
    </row>
    <row r="13" spans="2:11" ht="19.95" customHeight="1" x14ac:dyDescent="0.3">
      <c r="B13" s="49"/>
      <c r="C13" s="50"/>
      <c r="D13" s="50"/>
      <c r="E13" s="50"/>
      <c r="F13" s="51"/>
      <c r="G13" s="51"/>
      <c r="H13" s="51"/>
      <c r="I13" s="51"/>
    </row>
    <row r="14" spans="2:11" ht="19.95" customHeight="1" x14ac:dyDescent="0.3">
      <c r="B14" s="49"/>
      <c r="C14" s="50"/>
      <c r="D14" s="50"/>
      <c r="E14" s="50"/>
      <c r="F14" s="51"/>
      <c r="G14" s="51"/>
      <c r="H14" s="51"/>
      <c r="I14" s="51"/>
    </row>
    <row r="15" spans="2:11" ht="19.95" customHeight="1" thickBot="1" x14ac:dyDescent="0.35">
      <c r="B15" s="49"/>
      <c r="C15" s="50"/>
      <c r="D15" s="50"/>
      <c r="E15" s="50"/>
      <c r="F15" s="51"/>
      <c r="G15" s="51"/>
      <c r="H15" s="51"/>
      <c r="I15" s="51"/>
    </row>
    <row r="16" spans="2:11" ht="19.95" customHeight="1" x14ac:dyDescent="0.3">
      <c r="B16" s="49"/>
      <c r="C16" s="50"/>
      <c r="D16" s="50"/>
      <c r="E16" s="50"/>
      <c r="F16" s="51"/>
      <c r="G16" s="51"/>
      <c r="H16" s="51"/>
      <c r="I16" s="51"/>
    </row>
    <row r="17" spans="2:11" ht="19.95" customHeight="1" x14ac:dyDescent="0.3">
      <c r="B17" s="49"/>
      <c r="C17" s="50"/>
      <c r="D17" s="50"/>
      <c r="E17" s="50"/>
      <c r="F17" s="51"/>
      <c r="G17" s="51"/>
      <c r="H17" s="51"/>
      <c r="I17" s="51"/>
    </row>
    <row r="18" spans="2:11" ht="19.95" customHeight="1" x14ac:dyDescent="0.3">
      <c r="B18" s="49"/>
      <c r="C18" s="50"/>
      <c r="D18" s="50"/>
      <c r="E18" s="50"/>
      <c r="F18" s="51"/>
      <c r="G18" s="51"/>
      <c r="H18" s="51"/>
      <c r="I18" s="51"/>
    </row>
    <row r="19" spans="2:11" ht="19.95" customHeight="1" x14ac:dyDescent="0.3">
      <c r="B19" s="49"/>
      <c r="C19" s="50"/>
      <c r="D19" s="50"/>
      <c r="E19" s="50"/>
      <c r="F19" s="51"/>
      <c r="G19" s="51"/>
      <c r="H19" s="51"/>
      <c r="I19" s="51"/>
    </row>
    <row r="20" spans="2:11" ht="19.95" customHeight="1" x14ac:dyDescent="0.3">
      <c r="B20" s="49"/>
      <c r="C20" s="50"/>
      <c r="D20" s="50"/>
      <c r="E20" s="50"/>
      <c r="F20" s="51"/>
      <c r="G20" s="51"/>
      <c r="H20" s="51"/>
      <c r="I20" s="51"/>
    </row>
    <row r="21" spans="2:11" ht="19.95" customHeight="1" x14ac:dyDescent="0.3">
      <c r="B21" s="49"/>
      <c r="C21" s="50"/>
      <c r="D21" s="50"/>
      <c r="E21" s="50"/>
      <c r="F21" s="51"/>
      <c r="G21" s="51"/>
      <c r="H21" s="51"/>
      <c r="I21" s="51"/>
    </row>
    <row r="22" spans="2:11" ht="19.95" customHeight="1" thickBot="1" x14ac:dyDescent="0.35">
      <c r="B22" s="49"/>
      <c r="C22" s="50"/>
      <c r="D22" s="50"/>
      <c r="E22" s="50"/>
      <c r="F22" s="51"/>
      <c r="G22" s="51"/>
      <c r="H22" s="51"/>
      <c r="I22" s="51"/>
    </row>
    <row r="23" spans="2:11" ht="21.6" customHeight="1" x14ac:dyDescent="0.3">
      <c r="B23" s="49"/>
      <c r="C23" s="50"/>
      <c r="D23" s="50"/>
      <c r="E23" s="50"/>
      <c r="F23" s="51"/>
      <c r="G23" s="51"/>
      <c r="H23" s="51"/>
      <c r="I23" s="51"/>
    </row>
    <row r="24" spans="2:11" ht="21.6" customHeight="1" x14ac:dyDescent="0.3">
      <c r="B24" s="49"/>
      <c r="C24" s="50"/>
      <c r="D24" s="50"/>
      <c r="E24" s="50"/>
      <c r="F24" s="51"/>
      <c r="G24" s="51"/>
      <c r="H24" s="51"/>
      <c r="I24" s="51"/>
    </row>
    <row r="25" spans="2:11" ht="21.6" customHeight="1" x14ac:dyDescent="0.3">
      <c r="B25" s="49"/>
      <c r="C25" s="50"/>
      <c r="D25" s="50"/>
      <c r="E25" s="50"/>
      <c r="F25" s="51"/>
      <c r="G25" s="51"/>
      <c r="H25" s="51"/>
      <c r="I25" s="51"/>
    </row>
    <row r="26" spans="2:11" ht="21.6" customHeight="1" x14ac:dyDescent="0.3">
      <c r="B26" s="49"/>
      <c r="C26" s="50"/>
      <c r="D26" s="50"/>
      <c r="E26" s="50"/>
      <c r="F26" s="51"/>
      <c r="G26" s="51"/>
      <c r="H26" s="51"/>
      <c r="I26" s="51"/>
    </row>
    <row r="27" spans="2:11" ht="21.6" customHeight="1" x14ac:dyDescent="0.3">
      <c r="B27" s="49"/>
      <c r="C27" s="50"/>
      <c r="D27" s="50"/>
      <c r="E27" s="50"/>
      <c r="F27" s="51"/>
      <c r="G27" s="51"/>
      <c r="H27" s="51"/>
      <c r="I27" s="51"/>
    </row>
    <row r="28" spans="2:11" ht="21.6" customHeight="1" x14ac:dyDescent="0.3">
      <c r="B28" s="49"/>
      <c r="C28" s="50"/>
      <c r="D28" s="50"/>
      <c r="E28" s="50"/>
      <c r="F28" s="51"/>
      <c r="G28" s="51"/>
      <c r="H28" s="51"/>
      <c r="I28" s="51"/>
    </row>
    <row r="29" spans="2:11" ht="21.6" customHeight="1" x14ac:dyDescent="0.3">
      <c r="B29" s="54"/>
      <c r="C29" s="55"/>
      <c r="D29" s="55"/>
      <c r="E29" s="55"/>
      <c r="F29" s="56"/>
      <c r="G29" s="56"/>
      <c r="H29" s="56"/>
      <c r="I29" s="56"/>
      <c r="J29" s="57"/>
      <c r="K29" s="58"/>
    </row>
    <row r="30" spans="2:11" ht="21.6" customHeight="1" thickBot="1" x14ac:dyDescent="0.35">
      <c r="B30" s="54"/>
      <c r="C30" s="55"/>
      <c r="D30" s="55"/>
      <c r="E30" s="55"/>
      <c r="F30" s="56"/>
      <c r="G30" s="56"/>
      <c r="H30" s="56"/>
      <c r="I30" s="56"/>
    </row>
    <row r="31" spans="2:11" ht="21.6" customHeight="1" x14ac:dyDescent="0.3">
      <c r="B31" s="59"/>
      <c r="C31" s="60"/>
      <c r="D31" s="60"/>
      <c r="E31" s="60"/>
      <c r="F31" s="61"/>
      <c r="G31" s="61"/>
      <c r="H31" s="61"/>
      <c r="I31" s="61"/>
      <c r="J31" s="62"/>
      <c r="K31" s="63"/>
    </row>
    <row r="32" spans="2:11" ht="21.6" customHeight="1" x14ac:dyDescent="0.3">
      <c r="B32" s="59"/>
      <c r="C32" s="60"/>
      <c r="D32" s="60"/>
      <c r="E32" s="60"/>
      <c r="F32" s="61"/>
      <c r="G32" s="61"/>
      <c r="H32" s="61"/>
      <c r="I32" s="61"/>
    </row>
    <row r="33" spans="2:9" ht="21.6" customHeight="1" x14ac:dyDescent="0.3">
      <c r="B33" s="59"/>
      <c r="C33" s="60"/>
      <c r="D33" s="60"/>
      <c r="E33" s="60"/>
      <c r="F33" s="61"/>
      <c r="G33" s="61"/>
      <c r="H33" s="61"/>
      <c r="I33" s="61"/>
    </row>
    <row r="34" spans="2:9" ht="21.6" customHeight="1" x14ac:dyDescent="0.3">
      <c r="B34" s="59"/>
      <c r="C34" s="60"/>
      <c r="D34" s="60"/>
      <c r="E34" s="60"/>
      <c r="F34" s="61"/>
      <c r="G34" s="61"/>
      <c r="H34" s="61"/>
      <c r="I34" s="61"/>
    </row>
    <row r="35" spans="2:9" ht="21.6" customHeight="1" x14ac:dyDescent="0.3">
      <c r="B35" s="59"/>
      <c r="C35" s="60"/>
      <c r="D35" s="60"/>
      <c r="E35" s="60"/>
      <c r="F35" s="61"/>
      <c r="G35" s="61"/>
      <c r="H35" s="61"/>
      <c r="I35" s="61"/>
    </row>
    <row r="36" spans="2:9" ht="21.6" customHeight="1" x14ac:dyDescent="0.3">
      <c r="B36" s="59"/>
      <c r="C36" s="60"/>
      <c r="D36" s="60"/>
      <c r="E36" s="60"/>
      <c r="F36" s="61"/>
      <c r="G36" s="61"/>
      <c r="H36" s="61"/>
      <c r="I36" s="61"/>
    </row>
    <row r="37" spans="2:9" ht="21.6" customHeight="1" x14ac:dyDescent="0.3">
      <c r="B37" s="59"/>
      <c r="C37" s="60"/>
      <c r="D37" s="60"/>
      <c r="E37" s="60"/>
      <c r="F37" s="61"/>
      <c r="G37" s="61"/>
      <c r="H37" s="61"/>
      <c r="I37" s="61"/>
    </row>
    <row r="38" spans="2:9" ht="21.6" customHeight="1" x14ac:dyDescent="0.3">
      <c r="B38" s="59"/>
      <c r="C38" s="60"/>
      <c r="D38" s="60"/>
      <c r="E38" s="60"/>
      <c r="F38" s="61"/>
      <c r="G38" s="61"/>
      <c r="H38" s="61"/>
      <c r="I38" s="61"/>
    </row>
    <row r="39" spans="2:9" ht="21.6" customHeight="1" x14ac:dyDescent="0.3">
      <c r="B39" s="59"/>
      <c r="C39" s="60"/>
      <c r="D39" s="60"/>
      <c r="E39" s="60"/>
      <c r="F39" s="61"/>
      <c r="G39" s="61"/>
      <c r="H39" s="61"/>
      <c r="I39" s="61"/>
    </row>
    <row r="40" spans="2:9" ht="21.6" customHeight="1" x14ac:dyDescent="0.3">
      <c r="B40" s="59"/>
      <c r="C40" s="60"/>
      <c r="D40" s="60"/>
      <c r="E40" s="60"/>
      <c r="F40" s="61"/>
      <c r="G40" s="61"/>
      <c r="H40" s="61"/>
      <c r="I40" s="61"/>
    </row>
    <row r="41" spans="2:9" ht="21.6" customHeight="1" thickBot="1" x14ac:dyDescent="0.35">
      <c r="B41" s="59"/>
      <c r="C41" s="60"/>
      <c r="D41" s="60"/>
      <c r="E41" s="60"/>
      <c r="F41" s="61"/>
      <c r="G41" s="61"/>
      <c r="H41" s="61"/>
      <c r="I41" s="61"/>
    </row>
    <row r="42" spans="2:9" ht="21.6" customHeight="1" x14ac:dyDescent="0.3">
      <c r="B42" s="59"/>
      <c r="C42" s="60"/>
      <c r="D42" s="60"/>
      <c r="E42" s="60"/>
      <c r="F42" s="61"/>
      <c r="G42" s="61"/>
      <c r="H42" s="61"/>
      <c r="I42" s="61"/>
    </row>
    <row r="43" spans="2:9" ht="21.6" customHeight="1" x14ac:dyDescent="0.3">
      <c r="B43" s="59"/>
      <c r="C43" s="60"/>
      <c r="D43" s="60"/>
      <c r="E43" s="60"/>
      <c r="F43" s="61"/>
      <c r="G43" s="61"/>
      <c r="H43" s="61"/>
      <c r="I43" s="61"/>
    </row>
    <row r="44" spans="2:9" ht="21.6" customHeight="1" x14ac:dyDescent="0.3">
      <c r="B44" s="59"/>
      <c r="C44" s="60"/>
      <c r="D44" s="60"/>
      <c r="E44" s="60"/>
      <c r="F44" s="61"/>
      <c r="G44" s="61"/>
      <c r="H44" s="61"/>
      <c r="I44" s="61"/>
    </row>
    <row r="45" spans="2:9" ht="21.6" customHeight="1" x14ac:dyDescent="0.3">
      <c r="B45" s="59"/>
      <c r="C45" s="60"/>
      <c r="D45" s="60"/>
      <c r="E45" s="60"/>
      <c r="F45" s="61"/>
      <c r="G45" s="61"/>
      <c r="H45" s="61"/>
      <c r="I45" s="61"/>
    </row>
    <row r="46" spans="2:9" ht="21.6" customHeight="1" x14ac:dyDescent="0.3">
      <c r="B46" s="59"/>
      <c r="C46" s="60"/>
      <c r="D46" s="60"/>
      <c r="E46" s="60"/>
      <c r="F46" s="61"/>
      <c r="G46" s="61"/>
      <c r="H46" s="61"/>
      <c r="I46" s="61"/>
    </row>
    <row r="47" spans="2:9" ht="21.6" customHeight="1" x14ac:dyDescent="0.3">
      <c r="B47" s="59"/>
      <c r="C47" s="60"/>
      <c r="D47" s="60"/>
      <c r="E47" s="60"/>
      <c r="F47" s="61"/>
      <c r="G47" s="61"/>
      <c r="H47" s="61"/>
      <c r="I47" s="61"/>
    </row>
    <row r="48" spans="2:9" ht="21.6" customHeight="1" thickBot="1" x14ac:dyDescent="0.35">
      <c r="B48" s="59"/>
      <c r="C48" s="60"/>
      <c r="D48" s="60"/>
      <c r="E48" s="60"/>
      <c r="F48" s="61"/>
      <c r="G48" s="61"/>
      <c r="H48" s="61"/>
      <c r="I48" s="61"/>
    </row>
    <row r="49" spans="2:11" ht="21" customHeight="1" x14ac:dyDescent="0.3">
      <c r="B49" s="59"/>
      <c r="C49" s="60"/>
      <c r="D49" s="60"/>
      <c r="E49" s="60"/>
      <c r="F49" s="61"/>
      <c r="G49" s="61"/>
      <c r="H49" s="61"/>
      <c r="I49" s="61"/>
    </row>
    <row r="50" spans="2:11" ht="21" customHeight="1" x14ac:dyDescent="0.3">
      <c r="B50" s="59"/>
      <c r="C50" s="60"/>
      <c r="D50" s="60"/>
      <c r="E50" s="60"/>
      <c r="F50" s="61"/>
      <c r="G50" s="61"/>
      <c r="H50" s="61"/>
      <c r="I50" s="61"/>
    </row>
    <row r="51" spans="2:11" ht="21" customHeight="1" x14ac:dyDescent="0.3">
      <c r="B51" s="59"/>
      <c r="C51" s="60"/>
      <c r="D51" s="60"/>
      <c r="E51" s="60"/>
      <c r="F51" s="61"/>
      <c r="G51" s="61"/>
      <c r="H51" s="61"/>
      <c r="I51" s="61"/>
    </row>
    <row r="52" spans="2:11" ht="21" customHeight="1" x14ac:dyDescent="0.3">
      <c r="B52" s="59"/>
      <c r="C52" s="60"/>
      <c r="D52" s="60"/>
      <c r="E52" s="60"/>
      <c r="F52" s="61"/>
      <c r="G52" s="61"/>
      <c r="H52" s="61"/>
      <c r="I52" s="61"/>
    </row>
    <row r="53" spans="2:11" ht="21" customHeight="1" thickBot="1" x14ac:dyDescent="0.35">
      <c r="B53" s="59"/>
      <c r="C53" s="60"/>
      <c r="D53" s="60"/>
      <c r="E53" s="60"/>
      <c r="F53" s="61"/>
      <c r="G53" s="61"/>
      <c r="H53" s="61"/>
      <c r="I53" s="61"/>
    </row>
    <row r="54" spans="2:11" ht="21" customHeight="1" x14ac:dyDescent="0.3">
      <c r="B54" s="59"/>
      <c r="C54" s="60"/>
      <c r="D54" s="60"/>
      <c r="E54" s="60"/>
      <c r="F54" s="61"/>
      <c r="G54" s="61"/>
      <c r="H54" s="61"/>
      <c r="I54" s="61"/>
    </row>
    <row r="55" spans="2:11" ht="21" customHeight="1" x14ac:dyDescent="0.3">
      <c r="B55" s="59"/>
      <c r="C55" s="60"/>
      <c r="D55" s="60"/>
      <c r="E55" s="60"/>
      <c r="F55" s="61"/>
      <c r="G55" s="61"/>
      <c r="H55" s="61"/>
      <c r="I55" s="61"/>
    </row>
    <row r="56" spans="2:11" ht="21" customHeight="1" x14ac:dyDescent="0.3">
      <c r="B56" s="59"/>
      <c r="C56" s="60"/>
      <c r="D56" s="60"/>
      <c r="E56" s="60"/>
      <c r="F56" s="61"/>
      <c r="G56" s="61"/>
      <c r="H56" s="61"/>
      <c r="I56" s="61"/>
    </row>
    <row r="57" spans="2:11" ht="21" customHeight="1" x14ac:dyDescent="0.3">
      <c r="B57" s="59"/>
      <c r="C57" s="60"/>
      <c r="D57" s="60"/>
      <c r="E57" s="60"/>
      <c r="F57" s="61"/>
      <c r="G57" s="61"/>
      <c r="H57" s="61"/>
      <c r="I57" s="61"/>
    </row>
    <row r="58" spans="2:11" ht="21" customHeight="1" x14ac:dyDescent="0.3">
      <c r="B58" s="59"/>
      <c r="C58" s="60"/>
      <c r="D58" s="60"/>
      <c r="E58" s="60"/>
      <c r="F58" s="61"/>
      <c r="G58" s="61"/>
      <c r="H58" s="61"/>
      <c r="I58" s="61"/>
    </row>
    <row r="59" spans="2:11" ht="21" customHeight="1" x14ac:dyDescent="0.3">
      <c r="B59" s="59"/>
      <c r="C59" s="60"/>
      <c r="D59" s="60"/>
      <c r="E59" s="60"/>
      <c r="F59" s="61"/>
      <c r="G59" s="61"/>
      <c r="H59" s="61"/>
      <c r="I59" s="61"/>
    </row>
    <row r="60" spans="2:11" ht="21" customHeight="1" x14ac:dyDescent="0.3">
      <c r="B60" s="59"/>
      <c r="C60" s="60"/>
      <c r="D60" s="60"/>
      <c r="E60" s="60"/>
      <c r="F60" s="61"/>
      <c r="G60" s="61"/>
      <c r="H60" s="61"/>
      <c r="I60" s="61"/>
    </row>
    <row r="61" spans="2:11" ht="21" customHeight="1" thickBot="1" x14ac:dyDescent="0.35">
      <c r="B61" s="59"/>
      <c r="C61" s="60"/>
      <c r="D61" s="60"/>
      <c r="E61" s="60"/>
      <c r="F61" s="61"/>
      <c r="G61" s="61"/>
      <c r="H61" s="61"/>
      <c r="I61" s="61"/>
    </row>
    <row r="62" spans="2:11" ht="21" customHeight="1" x14ac:dyDescent="0.3">
      <c r="B62" s="59"/>
      <c r="C62" s="60"/>
      <c r="D62" s="60"/>
      <c r="E62" s="60"/>
      <c r="F62" s="61"/>
      <c r="G62" s="61"/>
      <c r="H62" s="61"/>
      <c r="I62" s="61"/>
    </row>
    <row r="63" spans="2:11" ht="21" customHeight="1" x14ac:dyDescent="0.3">
      <c r="B63" s="59"/>
      <c r="C63" s="60"/>
      <c r="D63" s="60"/>
      <c r="E63" s="60"/>
      <c r="F63" s="61"/>
      <c r="G63" s="61"/>
      <c r="H63" s="61"/>
      <c r="I63" s="61"/>
    </row>
    <row r="64" spans="2:11" ht="21" customHeight="1" x14ac:dyDescent="0.3">
      <c r="B64" s="64"/>
      <c r="C64" s="65"/>
      <c r="D64" s="65"/>
      <c r="E64" s="65"/>
      <c r="F64" s="66"/>
      <c r="G64" s="66"/>
      <c r="H64" s="66"/>
      <c r="I64" s="66"/>
      <c r="J64" s="67"/>
      <c r="K64" s="68"/>
    </row>
    <row r="65" spans="2:9" ht="21" customHeight="1" x14ac:dyDescent="0.3">
      <c r="B65" s="64"/>
      <c r="C65" s="65"/>
      <c r="D65" s="65"/>
      <c r="E65" s="65"/>
      <c r="F65" s="66"/>
      <c r="G65" s="66"/>
      <c r="H65" s="66"/>
      <c r="I65" s="66"/>
    </row>
    <row r="66" spans="2:9" ht="21" customHeight="1" x14ac:dyDescent="0.3">
      <c r="B66" s="64"/>
      <c r="C66" s="65"/>
      <c r="D66" s="65"/>
      <c r="E66" s="65"/>
      <c r="F66" s="66"/>
      <c r="G66" s="66"/>
      <c r="H66" s="66"/>
      <c r="I66" s="66"/>
    </row>
    <row r="67" spans="2:9" ht="21" customHeight="1" x14ac:dyDescent="0.3">
      <c r="B67" s="64"/>
      <c r="C67" s="65"/>
      <c r="D67" s="65"/>
      <c r="E67" s="65"/>
      <c r="F67" s="66"/>
      <c r="G67" s="66"/>
      <c r="H67" s="66"/>
      <c r="I67" s="66"/>
    </row>
    <row r="68" spans="2:9" ht="21" customHeight="1" x14ac:dyDescent="0.3">
      <c r="B68" s="64"/>
      <c r="C68" s="65"/>
      <c r="D68" s="65"/>
      <c r="E68" s="65"/>
      <c r="F68" s="66"/>
      <c r="G68" s="66"/>
      <c r="H68" s="66"/>
      <c r="I68" s="66"/>
    </row>
    <row r="69" spans="2:9" ht="21" customHeight="1" x14ac:dyDescent="0.3">
      <c r="B69" s="64"/>
      <c r="C69" s="65"/>
      <c r="D69" s="65"/>
      <c r="E69" s="65"/>
      <c r="F69" s="66"/>
      <c r="G69" s="66"/>
      <c r="H69" s="66"/>
      <c r="I69" s="66"/>
    </row>
    <row r="70" spans="2:9" ht="21" customHeight="1" thickBot="1" x14ac:dyDescent="0.35">
      <c r="B70" s="64"/>
      <c r="C70" s="65"/>
      <c r="D70" s="65"/>
      <c r="E70" s="65"/>
      <c r="F70" s="66"/>
      <c r="G70" s="66"/>
      <c r="H70" s="66"/>
      <c r="I70" s="66"/>
    </row>
    <row r="71" spans="2:9" ht="22.95" customHeight="1" thickBot="1" x14ac:dyDescent="0.35">
      <c r="B71" s="64"/>
      <c r="C71" s="65"/>
      <c r="D71" s="65"/>
      <c r="E71" s="65"/>
      <c r="F71" s="66"/>
      <c r="G71" s="66"/>
      <c r="H71" s="66"/>
      <c r="I71" s="66"/>
    </row>
    <row r="72" spans="2:9" ht="19.2" customHeight="1" x14ac:dyDescent="0.3">
      <c r="B72" s="64"/>
      <c r="C72" s="65"/>
      <c r="D72" s="65"/>
      <c r="E72" s="65"/>
      <c r="F72" s="66"/>
      <c r="G72" s="66"/>
      <c r="H72" s="66"/>
      <c r="I72" s="66"/>
    </row>
    <row r="73" spans="2:9" ht="19.2" customHeight="1" x14ac:dyDescent="0.3">
      <c r="B73" s="64"/>
      <c r="C73" s="65"/>
      <c r="D73" s="65"/>
      <c r="E73" s="65"/>
      <c r="F73" s="66"/>
      <c r="G73" s="66"/>
      <c r="H73" s="66"/>
      <c r="I73" s="66"/>
    </row>
    <row r="74" spans="2:9" x14ac:dyDescent="0.3">
      <c r="B74" s="64"/>
      <c r="C74" s="65"/>
      <c r="D74" s="65"/>
      <c r="E74" s="65"/>
      <c r="F74" s="66"/>
      <c r="G74" s="66"/>
      <c r="H74" s="66"/>
      <c r="I74" s="66"/>
    </row>
    <row r="75" spans="2:9" x14ac:dyDescent="0.3">
      <c r="B75" s="64"/>
      <c r="C75" s="65"/>
      <c r="D75" s="65"/>
      <c r="E75" s="65"/>
      <c r="F75" s="66"/>
      <c r="G75" s="66"/>
      <c r="H75" s="66"/>
      <c r="I75" s="66"/>
    </row>
    <row r="76" spans="2:9" x14ac:dyDescent="0.3">
      <c r="B76" s="64"/>
      <c r="C76" s="65"/>
      <c r="D76" s="65"/>
      <c r="E76" s="65"/>
      <c r="F76" s="66"/>
      <c r="G76" s="66"/>
      <c r="H76" s="66"/>
      <c r="I76" s="66"/>
    </row>
    <row r="77" spans="2:9" x14ac:dyDescent="0.3">
      <c r="B77" s="64"/>
      <c r="C77" s="65"/>
      <c r="D77" s="65"/>
      <c r="E77" s="65"/>
      <c r="F77" s="66"/>
      <c r="G77" s="66"/>
      <c r="H77" s="66"/>
      <c r="I77" s="66"/>
    </row>
    <row r="78" spans="2:9" x14ac:dyDescent="0.3">
      <c r="B78" s="64"/>
      <c r="C78" s="65"/>
      <c r="D78" s="65"/>
      <c r="E78" s="65"/>
      <c r="F78" s="66"/>
      <c r="G78" s="66"/>
      <c r="H78" s="66"/>
      <c r="I78" s="66"/>
    </row>
    <row r="79" spans="2:9" x14ac:dyDescent="0.3">
      <c r="B79" s="64"/>
      <c r="C79" s="65"/>
      <c r="D79" s="65"/>
      <c r="E79" s="65"/>
      <c r="F79" s="66"/>
      <c r="G79" s="66"/>
      <c r="H79" s="66"/>
      <c r="I79" s="66"/>
    </row>
    <row r="80" spans="2:9" x14ac:dyDescent="0.3">
      <c r="B80" s="64"/>
      <c r="C80" s="65"/>
      <c r="D80" s="65"/>
      <c r="E80" s="65"/>
      <c r="F80" s="66"/>
      <c r="G80" s="66"/>
      <c r="H80" s="66"/>
      <c r="I80" s="66"/>
    </row>
    <row r="81" spans="2:11" x14ac:dyDescent="0.3">
      <c r="B81" s="64"/>
      <c r="C81" s="65"/>
      <c r="D81" s="65"/>
      <c r="E81" s="65"/>
      <c r="F81" s="66"/>
      <c r="G81" s="66"/>
      <c r="H81" s="66"/>
      <c r="I81" s="66"/>
    </row>
    <row r="82" spans="2:11" x14ac:dyDescent="0.3">
      <c r="B82" s="64"/>
      <c r="C82" s="65"/>
      <c r="D82" s="65"/>
      <c r="E82" s="65"/>
      <c r="F82" s="66"/>
      <c r="G82" s="66"/>
      <c r="H82" s="66"/>
      <c r="I82" s="66"/>
    </row>
    <row r="83" spans="2:11" x14ac:dyDescent="0.3">
      <c r="B83" s="64"/>
      <c r="C83" s="65"/>
      <c r="D83" s="65"/>
      <c r="E83" s="65"/>
      <c r="F83" s="66"/>
      <c r="G83" s="66"/>
      <c r="H83" s="66"/>
      <c r="I83" s="66"/>
    </row>
    <row r="84" spans="2:11" x14ac:dyDescent="0.3">
      <c r="B84" s="64"/>
      <c r="C84" s="65"/>
      <c r="D84" s="65"/>
      <c r="E84" s="65"/>
      <c r="F84" s="66"/>
      <c r="G84" s="66"/>
      <c r="H84" s="66"/>
      <c r="I84" s="66"/>
    </row>
    <row r="85" spans="2:11" x14ac:dyDescent="0.3">
      <c r="B85" s="64"/>
      <c r="C85" s="65"/>
      <c r="D85" s="65"/>
      <c r="E85" s="65"/>
      <c r="F85" s="66"/>
      <c r="G85" s="66"/>
      <c r="H85" s="66"/>
      <c r="I85" s="66"/>
    </row>
    <row r="86" spans="2:11" x14ac:dyDescent="0.3">
      <c r="B86" s="64"/>
      <c r="C86" s="65"/>
      <c r="D86" s="65"/>
      <c r="E86" s="65"/>
      <c r="F86" s="66"/>
      <c r="G86" s="66"/>
      <c r="H86" s="66"/>
      <c r="I86" s="66"/>
    </row>
    <row r="87" spans="2:11" x14ac:dyDescent="0.3">
      <c r="B87" s="64"/>
      <c r="C87" s="65"/>
      <c r="D87" s="65"/>
      <c r="E87" s="65"/>
      <c r="F87" s="66"/>
      <c r="G87" s="66"/>
      <c r="H87" s="66"/>
      <c r="I87" s="66"/>
    </row>
    <row r="88" spans="2:11" x14ac:dyDescent="0.3">
      <c r="B88" s="64"/>
      <c r="C88" s="65"/>
      <c r="D88" s="65"/>
      <c r="E88" s="65"/>
      <c r="F88" s="66"/>
      <c r="G88" s="66"/>
      <c r="H88" s="66"/>
      <c r="I88" s="66"/>
    </row>
    <row r="89" spans="2:11" x14ac:dyDescent="0.3">
      <c r="B89" s="64"/>
      <c r="C89" s="65"/>
      <c r="D89" s="65"/>
      <c r="E89" s="65"/>
      <c r="F89" s="66"/>
      <c r="G89" s="66"/>
      <c r="H89" s="66"/>
      <c r="I89" s="66"/>
    </row>
    <row r="90" spans="2:11" x14ac:dyDescent="0.3">
      <c r="B90" s="64"/>
      <c r="C90" s="65"/>
      <c r="D90" s="65"/>
      <c r="E90" s="65"/>
      <c r="F90" s="66"/>
      <c r="G90" s="66"/>
      <c r="H90" s="66"/>
      <c r="I90" s="66"/>
    </row>
    <row r="91" spans="2:11" x14ac:dyDescent="0.3">
      <c r="B91" s="64"/>
      <c r="C91" s="65"/>
      <c r="D91" s="65"/>
      <c r="E91" s="65"/>
      <c r="F91" s="66"/>
      <c r="G91" s="66"/>
      <c r="H91" s="66"/>
      <c r="I91" s="66"/>
    </row>
    <row r="92" spans="2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2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2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2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2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30" t="s">
        <v>306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2:11" s="3" customFormat="1" ht="24.6" customHeight="1" thickBot="1" x14ac:dyDescent="0.35">
      <c r="B2" s="122" t="s">
        <v>1</v>
      </c>
      <c r="C2" s="123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63</v>
      </c>
      <c r="G3" s="41">
        <v>3</v>
      </c>
      <c r="H3" s="41" t="s">
        <v>11</v>
      </c>
      <c r="I3" s="41"/>
      <c r="J3" s="42">
        <v>46288</v>
      </c>
      <c r="K3" s="43">
        <f>F3+G3</f>
        <v>66</v>
      </c>
    </row>
    <row r="4" spans="2:11" ht="19.95" customHeight="1" x14ac:dyDescent="0.3">
      <c r="B4" s="44">
        <v>2</v>
      </c>
      <c r="C4" s="45" t="s">
        <v>292</v>
      </c>
      <c r="D4" s="45">
        <v>19</v>
      </c>
      <c r="E4" s="45">
        <v>4</v>
      </c>
      <c r="F4" s="46">
        <v>23</v>
      </c>
      <c r="G4" s="46">
        <v>2</v>
      </c>
      <c r="H4" s="46" t="s">
        <v>23</v>
      </c>
      <c r="I4" s="46"/>
      <c r="J4" s="47">
        <v>46347</v>
      </c>
      <c r="K4" s="48">
        <f>F4+G4</f>
        <v>25</v>
      </c>
    </row>
    <row r="5" spans="2:11" ht="19.95" customHeight="1" x14ac:dyDescent="0.3">
      <c r="B5" s="49">
        <v>3</v>
      </c>
      <c r="C5" s="50" t="s">
        <v>293</v>
      </c>
      <c r="D5" s="50">
        <v>16</v>
      </c>
      <c r="E5" s="50">
        <v>4</v>
      </c>
      <c r="F5" s="51">
        <v>20</v>
      </c>
      <c r="G5" s="51">
        <v>1</v>
      </c>
      <c r="H5" s="51" t="s">
        <v>11</v>
      </c>
      <c r="I5" s="51"/>
      <c r="J5" s="127">
        <v>46355</v>
      </c>
      <c r="K5" s="137">
        <f>SUM(F5:F10)+SUM(G5:G10)</f>
        <v>324</v>
      </c>
    </row>
    <row r="6" spans="2:11" ht="19.95" customHeight="1" x14ac:dyDescent="0.3">
      <c r="B6" s="49">
        <v>4</v>
      </c>
      <c r="C6" s="50" t="s">
        <v>294</v>
      </c>
      <c r="D6" s="50">
        <v>29</v>
      </c>
      <c r="E6" s="50">
        <v>4</v>
      </c>
      <c r="F6" s="51">
        <v>33</v>
      </c>
      <c r="G6" s="51">
        <v>2</v>
      </c>
      <c r="H6" s="51" t="s">
        <v>11</v>
      </c>
      <c r="I6" s="51"/>
      <c r="J6" s="128"/>
      <c r="K6" s="138"/>
    </row>
    <row r="7" spans="2:11" ht="19.95" customHeight="1" x14ac:dyDescent="0.3">
      <c r="B7" s="49">
        <v>5</v>
      </c>
      <c r="C7" s="50" t="s">
        <v>295</v>
      </c>
      <c r="D7" s="50">
        <v>30</v>
      </c>
      <c r="E7" s="50">
        <v>4</v>
      </c>
      <c r="F7" s="51">
        <v>34</v>
      </c>
      <c r="G7" s="51">
        <v>2</v>
      </c>
      <c r="H7" s="51" t="s">
        <v>11</v>
      </c>
      <c r="I7" s="51"/>
      <c r="J7" s="128"/>
      <c r="K7" s="138"/>
    </row>
    <row r="8" spans="2:11" ht="19.95" customHeight="1" x14ac:dyDescent="0.3">
      <c r="B8" s="49">
        <v>6</v>
      </c>
      <c r="C8" s="50" t="s">
        <v>296</v>
      </c>
      <c r="D8" s="50">
        <v>126</v>
      </c>
      <c r="E8" s="50">
        <v>17</v>
      </c>
      <c r="F8" s="51">
        <v>143</v>
      </c>
      <c r="G8" s="51">
        <v>7</v>
      </c>
      <c r="H8" s="51" t="s">
        <v>11</v>
      </c>
      <c r="I8" s="51"/>
      <c r="J8" s="128"/>
      <c r="K8" s="138"/>
    </row>
    <row r="9" spans="2:11" ht="19.95" customHeight="1" thickBot="1" x14ac:dyDescent="0.35">
      <c r="B9" s="49">
        <v>7</v>
      </c>
      <c r="C9" s="50" t="s">
        <v>297</v>
      </c>
      <c r="D9" s="50">
        <v>39</v>
      </c>
      <c r="E9" s="50">
        <v>0</v>
      </c>
      <c r="F9" s="51">
        <v>39</v>
      </c>
      <c r="G9" s="51">
        <v>3</v>
      </c>
      <c r="H9" s="51" t="s">
        <v>11</v>
      </c>
      <c r="I9" s="51"/>
      <c r="J9" s="128"/>
      <c r="K9" s="138"/>
    </row>
    <row r="10" spans="2:11" ht="19.95" customHeight="1" x14ac:dyDescent="0.3">
      <c r="B10" s="49">
        <v>8</v>
      </c>
      <c r="C10" s="50" t="s">
        <v>298</v>
      </c>
      <c r="D10" s="50">
        <v>35</v>
      </c>
      <c r="E10" s="50">
        <v>3</v>
      </c>
      <c r="F10" s="51">
        <v>38</v>
      </c>
      <c r="G10" s="51">
        <v>2</v>
      </c>
      <c r="H10" s="51" t="s">
        <v>11</v>
      </c>
      <c r="I10" s="51"/>
      <c r="J10" s="129"/>
      <c r="K10" s="139"/>
    </row>
    <row r="11" spans="2:11" ht="19.95" customHeight="1" x14ac:dyDescent="0.3">
      <c r="B11" s="54">
        <v>9</v>
      </c>
      <c r="C11" s="55" t="s">
        <v>14</v>
      </c>
      <c r="D11" s="55">
        <v>30</v>
      </c>
      <c r="E11" s="55">
        <v>3</v>
      </c>
      <c r="F11" s="56">
        <v>33</v>
      </c>
      <c r="G11" s="56">
        <v>2</v>
      </c>
      <c r="H11" s="56" t="s">
        <v>11</v>
      </c>
      <c r="I11" s="56"/>
      <c r="J11" s="133">
        <v>46362</v>
      </c>
      <c r="K11" s="135">
        <f>SUM(F11:F35)+SUM(G11:G35)</f>
        <v>809</v>
      </c>
    </row>
    <row r="12" spans="2:11" ht="19.95" customHeight="1" x14ac:dyDescent="0.3">
      <c r="B12" s="54">
        <v>10</v>
      </c>
      <c r="C12" s="55" t="s">
        <v>16</v>
      </c>
      <c r="D12" s="55">
        <v>24</v>
      </c>
      <c r="E12" s="55">
        <v>2</v>
      </c>
      <c r="F12" s="56">
        <v>26</v>
      </c>
      <c r="G12" s="56">
        <v>2</v>
      </c>
      <c r="H12" s="56" t="s">
        <v>11</v>
      </c>
      <c r="I12" s="56"/>
      <c r="J12" s="151"/>
      <c r="K12" s="207"/>
    </row>
    <row r="13" spans="2:11" ht="19.95" customHeight="1" x14ac:dyDescent="0.3">
      <c r="B13" s="54">
        <v>11</v>
      </c>
      <c r="C13" s="55" t="s">
        <v>17</v>
      </c>
      <c r="D13" s="55">
        <v>20</v>
      </c>
      <c r="E13" s="55">
        <v>2</v>
      </c>
      <c r="F13" s="56">
        <v>22</v>
      </c>
      <c r="G13" s="56">
        <v>1</v>
      </c>
      <c r="H13" s="56" t="s">
        <v>11</v>
      </c>
      <c r="I13" s="56"/>
      <c r="J13" s="151"/>
      <c r="K13" s="207"/>
    </row>
    <row r="14" spans="2:11" ht="19.95" customHeight="1" x14ac:dyDescent="0.3">
      <c r="B14" s="54">
        <v>12</v>
      </c>
      <c r="C14" s="55" t="s">
        <v>18</v>
      </c>
      <c r="D14" s="55">
        <v>27</v>
      </c>
      <c r="E14" s="55">
        <v>0</v>
      </c>
      <c r="F14" s="56">
        <v>27</v>
      </c>
      <c r="G14" s="56">
        <v>1</v>
      </c>
      <c r="H14" s="56" t="s">
        <v>11</v>
      </c>
      <c r="I14" s="56"/>
      <c r="J14" s="151"/>
      <c r="K14" s="207"/>
    </row>
    <row r="15" spans="2:11" ht="19.95" customHeight="1" thickBot="1" x14ac:dyDescent="0.35">
      <c r="B15" s="54">
        <v>13</v>
      </c>
      <c r="C15" s="55" t="s">
        <v>19</v>
      </c>
      <c r="D15" s="55">
        <v>79</v>
      </c>
      <c r="E15" s="55">
        <v>0</v>
      </c>
      <c r="F15" s="56">
        <v>79</v>
      </c>
      <c r="G15" s="56">
        <v>4</v>
      </c>
      <c r="H15" s="56" t="s">
        <v>11</v>
      </c>
      <c r="I15" s="56"/>
      <c r="J15" s="151"/>
      <c r="K15" s="207"/>
    </row>
    <row r="16" spans="2:11" ht="19.95" customHeight="1" x14ac:dyDescent="0.3">
      <c r="B16" s="54">
        <v>14</v>
      </c>
      <c r="C16" s="55" t="s">
        <v>20</v>
      </c>
      <c r="D16" s="55">
        <v>24</v>
      </c>
      <c r="E16" s="55">
        <v>4</v>
      </c>
      <c r="F16" s="56">
        <v>28</v>
      </c>
      <c r="G16" s="56">
        <v>0</v>
      </c>
      <c r="H16" s="56" t="s">
        <v>11</v>
      </c>
      <c r="I16" s="56"/>
      <c r="J16" s="151"/>
      <c r="K16" s="207"/>
    </row>
    <row r="17" spans="2:11" ht="19.95" customHeight="1" x14ac:dyDescent="0.3">
      <c r="B17" s="54">
        <v>15</v>
      </c>
      <c r="C17" s="55" t="s">
        <v>21</v>
      </c>
      <c r="D17" s="55">
        <v>35</v>
      </c>
      <c r="E17" s="55">
        <v>7</v>
      </c>
      <c r="F17" s="56">
        <v>42</v>
      </c>
      <c r="G17" s="56">
        <v>3</v>
      </c>
      <c r="H17" s="56" t="s">
        <v>11</v>
      </c>
      <c r="I17" s="56"/>
      <c r="J17" s="151"/>
      <c r="K17" s="207"/>
    </row>
    <row r="18" spans="2:11" ht="19.95" customHeight="1" x14ac:dyDescent="0.3">
      <c r="B18" s="54">
        <v>16</v>
      </c>
      <c r="C18" s="55" t="s">
        <v>22</v>
      </c>
      <c r="D18" s="55">
        <v>24</v>
      </c>
      <c r="E18" s="55">
        <v>2</v>
      </c>
      <c r="F18" s="56">
        <v>26</v>
      </c>
      <c r="G18" s="56">
        <v>0</v>
      </c>
      <c r="H18" s="56" t="s">
        <v>23</v>
      </c>
      <c r="I18" s="56"/>
      <c r="J18" s="151"/>
      <c r="K18" s="207"/>
    </row>
    <row r="19" spans="2:11" ht="19.95" customHeight="1" x14ac:dyDescent="0.3">
      <c r="B19" s="54">
        <v>17</v>
      </c>
      <c r="C19" s="55" t="s">
        <v>24</v>
      </c>
      <c r="D19" s="55">
        <v>31</v>
      </c>
      <c r="E19" s="55">
        <v>7</v>
      </c>
      <c r="F19" s="56">
        <v>38</v>
      </c>
      <c r="G19" s="56">
        <v>0</v>
      </c>
      <c r="H19" s="56" t="s">
        <v>11</v>
      </c>
      <c r="I19" s="56"/>
      <c r="J19" s="151"/>
      <c r="K19" s="207"/>
    </row>
    <row r="20" spans="2:11" ht="19.95" customHeight="1" x14ac:dyDescent="0.3">
      <c r="B20" s="54">
        <v>18</v>
      </c>
      <c r="C20" s="55" t="s">
        <v>25</v>
      </c>
      <c r="D20" s="55">
        <v>29</v>
      </c>
      <c r="E20" s="55">
        <v>3</v>
      </c>
      <c r="F20" s="56">
        <v>32</v>
      </c>
      <c r="G20" s="56">
        <v>1</v>
      </c>
      <c r="H20" s="56" t="s">
        <v>11</v>
      </c>
      <c r="I20" s="56"/>
      <c r="J20" s="151"/>
      <c r="K20" s="207"/>
    </row>
    <row r="21" spans="2:11" ht="19.95" customHeight="1" x14ac:dyDescent="0.3">
      <c r="B21" s="54">
        <v>20</v>
      </c>
      <c r="C21" s="55" t="s">
        <v>26</v>
      </c>
      <c r="D21" s="55">
        <v>20</v>
      </c>
      <c r="E21" s="55">
        <v>0</v>
      </c>
      <c r="F21" s="56">
        <v>20</v>
      </c>
      <c r="G21" s="56">
        <v>1</v>
      </c>
      <c r="H21" s="56" t="s">
        <v>11</v>
      </c>
      <c r="I21" s="56"/>
      <c r="J21" s="151"/>
      <c r="K21" s="207"/>
    </row>
    <row r="22" spans="2:11" ht="19.95" customHeight="1" thickBot="1" x14ac:dyDescent="0.35">
      <c r="B22" s="54">
        <v>21</v>
      </c>
      <c r="C22" s="55" t="s">
        <v>27</v>
      </c>
      <c r="D22" s="55">
        <v>25</v>
      </c>
      <c r="E22" s="55">
        <v>0</v>
      </c>
      <c r="F22" s="56">
        <v>25</v>
      </c>
      <c r="G22" s="56">
        <v>2</v>
      </c>
      <c r="H22" s="56" t="s">
        <v>11</v>
      </c>
      <c r="I22" s="56"/>
      <c r="J22" s="151"/>
      <c r="K22" s="207"/>
    </row>
    <row r="23" spans="2:11" ht="21.6" customHeight="1" x14ac:dyDescent="0.3">
      <c r="B23" s="54">
        <v>22</v>
      </c>
      <c r="C23" s="55" t="s">
        <v>28</v>
      </c>
      <c r="D23" s="55">
        <v>75</v>
      </c>
      <c r="E23" s="55">
        <v>0</v>
      </c>
      <c r="F23" s="56">
        <v>75</v>
      </c>
      <c r="G23" s="56">
        <v>4</v>
      </c>
      <c r="H23" s="56" t="s">
        <v>11</v>
      </c>
      <c r="I23" s="56"/>
      <c r="J23" s="151"/>
      <c r="K23" s="207"/>
    </row>
    <row r="24" spans="2:11" ht="21.6" customHeight="1" x14ac:dyDescent="0.3">
      <c r="B24" s="54">
        <v>23</v>
      </c>
      <c r="C24" s="55" t="s">
        <v>29</v>
      </c>
      <c r="D24" s="55">
        <v>24</v>
      </c>
      <c r="E24" s="55">
        <v>2</v>
      </c>
      <c r="F24" s="56">
        <v>26</v>
      </c>
      <c r="G24" s="56">
        <v>0</v>
      </c>
      <c r="H24" s="56" t="s">
        <v>23</v>
      </c>
      <c r="I24" s="56"/>
      <c r="J24" s="151"/>
      <c r="K24" s="207"/>
    </row>
    <row r="25" spans="2:11" ht="21.6" customHeight="1" x14ac:dyDescent="0.3">
      <c r="B25" s="54">
        <v>24</v>
      </c>
      <c r="C25" s="55" t="s">
        <v>30</v>
      </c>
      <c r="D25" s="55">
        <v>27</v>
      </c>
      <c r="E25" s="55">
        <v>4</v>
      </c>
      <c r="F25" s="56">
        <v>31</v>
      </c>
      <c r="G25" s="56">
        <v>2</v>
      </c>
      <c r="H25" s="56" t="s">
        <v>23</v>
      </c>
      <c r="I25" s="56"/>
      <c r="J25" s="151"/>
      <c r="K25" s="207"/>
    </row>
    <row r="26" spans="2:11" ht="21.6" customHeight="1" x14ac:dyDescent="0.3">
      <c r="B26" s="54">
        <v>25</v>
      </c>
      <c r="C26" s="55" t="s">
        <v>31</v>
      </c>
      <c r="D26" s="55">
        <v>19</v>
      </c>
      <c r="E26" s="55">
        <v>4</v>
      </c>
      <c r="F26" s="56">
        <v>23</v>
      </c>
      <c r="G26" s="56">
        <v>1</v>
      </c>
      <c r="H26" s="56" t="s">
        <v>23</v>
      </c>
      <c r="I26" s="56"/>
      <c r="J26" s="151"/>
      <c r="K26" s="207"/>
    </row>
    <row r="27" spans="2:11" ht="21.6" customHeight="1" x14ac:dyDescent="0.3">
      <c r="B27" s="54">
        <v>26</v>
      </c>
      <c r="C27" s="55" t="s">
        <v>32</v>
      </c>
      <c r="D27" s="55">
        <v>9</v>
      </c>
      <c r="E27" s="55">
        <v>0</v>
      </c>
      <c r="F27" s="56">
        <v>9</v>
      </c>
      <c r="G27" s="56">
        <v>1</v>
      </c>
      <c r="H27" s="56" t="s">
        <v>13</v>
      </c>
      <c r="I27" s="56"/>
      <c r="J27" s="151"/>
      <c r="K27" s="207"/>
    </row>
    <row r="28" spans="2:11" ht="21.6" customHeight="1" x14ac:dyDescent="0.3">
      <c r="B28" s="54">
        <v>27</v>
      </c>
      <c r="C28" s="55" t="s">
        <v>33</v>
      </c>
      <c r="D28" s="55">
        <v>18</v>
      </c>
      <c r="E28" s="55">
        <v>4</v>
      </c>
      <c r="F28" s="56">
        <v>22</v>
      </c>
      <c r="G28" s="56">
        <v>2</v>
      </c>
      <c r="H28" s="56" t="s">
        <v>23</v>
      </c>
      <c r="I28" s="56"/>
      <c r="J28" s="151"/>
      <c r="K28" s="207"/>
    </row>
    <row r="29" spans="2:11" ht="21.6" customHeight="1" x14ac:dyDescent="0.3">
      <c r="B29" s="54">
        <v>28</v>
      </c>
      <c r="C29" s="55" t="s">
        <v>34</v>
      </c>
      <c r="D29" s="55">
        <v>23</v>
      </c>
      <c r="E29" s="55">
        <v>4</v>
      </c>
      <c r="F29" s="56">
        <v>27</v>
      </c>
      <c r="G29" s="56">
        <v>0</v>
      </c>
      <c r="H29" s="56" t="s">
        <v>35</v>
      </c>
      <c r="I29" s="56"/>
      <c r="J29" s="151"/>
      <c r="K29" s="207"/>
    </row>
    <row r="30" spans="2:11" ht="21.6" customHeight="1" thickBot="1" x14ac:dyDescent="0.35">
      <c r="B30" s="54">
        <v>29</v>
      </c>
      <c r="C30" s="55" t="s">
        <v>36</v>
      </c>
      <c r="D30" s="55">
        <v>46</v>
      </c>
      <c r="E30" s="55">
        <v>0</v>
      </c>
      <c r="F30" s="56">
        <v>46</v>
      </c>
      <c r="G30" s="56">
        <v>2</v>
      </c>
      <c r="H30" s="56" t="s">
        <v>37</v>
      </c>
      <c r="I30" s="56"/>
      <c r="J30" s="151"/>
      <c r="K30" s="207"/>
    </row>
    <row r="31" spans="2:11" ht="21.6" customHeight="1" x14ac:dyDescent="0.3">
      <c r="B31" s="54">
        <v>30</v>
      </c>
      <c r="C31" s="55" t="s">
        <v>38</v>
      </c>
      <c r="D31" s="55">
        <v>18</v>
      </c>
      <c r="E31" s="55">
        <v>4</v>
      </c>
      <c r="F31" s="56">
        <v>22</v>
      </c>
      <c r="G31" s="56">
        <v>0</v>
      </c>
      <c r="H31" s="56" t="s">
        <v>35</v>
      </c>
      <c r="I31" s="56"/>
      <c r="J31" s="151"/>
      <c r="K31" s="207"/>
    </row>
    <row r="32" spans="2:11" ht="21.6" customHeight="1" x14ac:dyDescent="0.3">
      <c r="B32" s="54">
        <v>31</v>
      </c>
      <c r="C32" s="55" t="s">
        <v>39</v>
      </c>
      <c r="D32" s="55">
        <v>22</v>
      </c>
      <c r="E32" s="55">
        <v>0</v>
      </c>
      <c r="F32" s="56">
        <v>22</v>
      </c>
      <c r="G32" s="56">
        <v>1</v>
      </c>
      <c r="H32" s="56" t="s">
        <v>35</v>
      </c>
      <c r="I32" s="56"/>
      <c r="J32" s="151"/>
      <c r="K32" s="207"/>
    </row>
    <row r="33" spans="2:11" ht="21.6" customHeight="1" x14ac:dyDescent="0.3">
      <c r="B33" s="54">
        <v>32</v>
      </c>
      <c r="C33" s="55" t="s">
        <v>40</v>
      </c>
      <c r="D33" s="55">
        <v>24</v>
      </c>
      <c r="E33" s="55">
        <v>0</v>
      </c>
      <c r="F33" s="56">
        <v>24</v>
      </c>
      <c r="G33" s="56">
        <v>1</v>
      </c>
      <c r="H33" s="56" t="s">
        <v>35</v>
      </c>
      <c r="I33" s="56"/>
      <c r="J33" s="151"/>
      <c r="K33" s="207"/>
    </row>
    <row r="34" spans="2:11" ht="21.6" customHeight="1" x14ac:dyDescent="0.3">
      <c r="B34" s="54">
        <v>33</v>
      </c>
      <c r="C34" s="55" t="s">
        <v>41</v>
      </c>
      <c r="D34" s="55">
        <v>20</v>
      </c>
      <c r="E34" s="55">
        <v>0</v>
      </c>
      <c r="F34" s="56">
        <v>20</v>
      </c>
      <c r="G34" s="56">
        <v>1</v>
      </c>
      <c r="H34" s="56" t="s">
        <v>35</v>
      </c>
      <c r="I34" s="56"/>
      <c r="J34" s="151"/>
      <c r="K34" s="207"/>
    </row>
    <row r="35" spans="2:11" ht="21.6" customHeight="1" x14ac:dyDescent="0.3">
      <c r="B35" s="54">
        <v>34</v>
      </c>
      <c r="C35" s="55" t="s">
        <v>12</v>
      </c>
      <c r="D35" s="55">
        <v>25</v>
      </c>
      <c r="E35" s="55">
        <v>6</v>
      </c>
      <c r="F35" s="56">
        <v>31</v>
      </c>
      <c r="G35" s="56">
        <v>1</v>
      </c>
      <c r="H35" s="56" t="s">
        <v>13</v>
      </c>
      <c r="I35" s="56"/>
      <c r="J35" s="134"/>
      <c r="K35" s="136"/>
    </row>
    <row r="36" spans="2:11" ht="21.6" customHeight="1" x14ac:dyDescent="0.3">
      <c r="B36" s="59">
        <v>40</v>
      </c>
      <c r="C36" s="60" t="s">
        <v>42</v>
      </c>
      <c r="D36" s="60">
        <v>34</v>
      </c>
      <c r="E36" s="60">
        <v>3</v>
      </c>
      <c r="F36" s="61">
        <v>37</v>
      </c>
      <c r="G36" s="61">
        <v>1</v>
      </c>
      <c r="H36" s="61" t="s">
        <v>23</v>
      </c>
      <c r="I36" s="61"/>
      <c r="J36" s="124">
        <v>46367</v>
      </c>
      <c r="K36" s="119">
        <f>SUM(F36:F37)+SUM(G36:G37)</f>
        <v>71</v>
      </c>
    </row>
    <row r="37" spans="2:11" ht="21.6" customHeight="1" x14ac:dyDescent="0.3">
      <c r="B37" s="59">
        <v>42</v>
      </c>
      <c r="C37" s="60" t="s">
        <v>43</v>
      </c>
      <c r="D37" s="60">
        <v>29</v>
      </c>
      <c r="E37" s="60">
        <v>3</v>
      </c>
      <c r="F37" s="61">
        <v>32</v>
      </c>
      <c r="G37" s="61">
        <v>1</v>
      </c>
      <c r="H37" s="61" t="s">
        <v>23</v>
      </c>
      <c r="I37" s="61"/>
      <c r="J37" s="126"/>
      <c r="K37" s="121"/>
    </row>
    <row r="38" spans="2:11" ht="21.6" customHeight="1" x14ac:dyDescent="0.3">
      <c r="B38" s="64">
        <v>35</v>
      </c>
      <c r="C38" s="65" t="s">
        <v>44</v>
      </c>
      <c r="D38" s="65">
        <v>26</v>
      </c>
      <c r="E38" s="65">
        <v>2</v>
      </c>
      <c r="F38" s="66">
        <v>28</v>
      </c>
      <c r="G38" s="66">
        <v>0</v>
      </c>
      <c r="H38" s="66" t="s">
        <v>11</v>
      </c>
      <c r="I38" s="66"/>
      <c r="J38" s="113">
        <v>46369</v>
      </c>
      <c r="K38" s="116">
        <f>SUM(F38:F70)+SUM(G38:G70)</f>
        <v>1016</v>
      </c>
    </row>
    <row r="39" spans="2:11" ht="21.6" customHeight="1" x14ac:dyDescent="0.3">
      <c r="B39" s="64">
        <v>36</v>
      </c>
      <c r="C39" s="65" t="s">
        <v>46</v>
      </c>
      <c r="D39" s="65">
        <v>35</v>
      </c>
      <c r="E39" s="65">
        <v>0</v>
      </c>
      <c r="F39" s="66">
        <v>35</v>
      </c>
      <c r="G39" s="66">
        <v>2</v>
      </c>
      <c r="H39" s="66" t="s">
        <v>11</v>
      </c>
      <c r="I39" s="66"/>
      <c r="J39" s="114"/>
      <c r="K39" s="117"/>
    </row>
    <row r="40" spans="2:11" ht="21.6" customHeight="1" x14ac:dyDescent="0.3">
      <c r="B40" s="64">
        <v>37</v>
      </c>
      <c r="C40" s="65" t="s">
        <v>47</v>
      </c>
      <c r="D40" s="65">
        <v>28</v>
      </c>
      <c r="E40" s="65">
        <v>2</v>
      </c>
      <c r="F40" s="66">
        <v>30</v>
      </c>
      <c r="G40" s="66">
        <v>2</v>
      </c>
      <c r="H40" s="66" t="s">
        <v>11</v>
      </c>
      <c r="I40" s="66"/>
      <c r="J40" s="114"/>
      <c r="K40" s="117"/>
    </row>
    <row r="41" spans="2:11" ht="21.6" customHeight="1" thickBot="1" x14ac:dyDescent="0.35">
      <c r="B41" s="64">
        <v>38</v>
      </c>
      <c r="C41" s="65" t="s">
        <v>48</v>
      </c>
      <c r="D41" s="65">
        <v>39</v>
      </c>
      <c r="E41" s="65">
        <v>4</v>
      </c>
      <c r="F41" s="66">
        <v>43</v>
      </c>
      <c r="G41" s="66">
        <v>3</v>
      </c>
      <c r="H41" s="66" t="s">
        <v>13</v>
      </c>
      <c r="I41" s="66"/>
      <c r="J41" s="114"/>
      <c r="K41" s="117"/>
    </row>
    <row r="42" spans="2:11" ht="21.6" customHeight="1" x14ac:dyDescent="0.3">
      <c r="B42" s="64">
        <v>39</v>
      </c>
      <c r="C42" s="65" t="s">
        <v>49</v>
      </c>
      <c r="D42" s="65">
        <v>25</v>
      </c>
      <c r="E42" s="65">
        <v>5</v>
      </c>
      <c r="F42" s="66">
        <v>30</v>
      </c>
      <c r="G42" s="66">
        <v>0</v>
      </c>
      <c r="H42" s="66" t="s">
        <v>11</v>
      </c>
      <c r="I42" s="66"/>
      <c r="J42" s="114"/>
      <c r="K42" s="117"/>
    </row>
    <row r="43" spans="2:11" ht="21.6" customHeight="1" x14ac:dyDescent="0.3">
      <c r="B43" s="64">
        <v>41</v>
      </c>
      <c r="C43" s="65" t="s">
        <v>50</v>
      </c>
      <c r="D43" s="65">
        <v>30</v>
      </c>
      <c r="E43" s="65">
        <v>5</v>
      </c>
      <c r="F43" s="66">
        <v>35</v>
      </c>
      <c r="G43" s="66">
        <v>0</v>
      </c>
      <c r="H43" s="66" t="s">
        <v>11</v>
      </c>
      <c r="I43" s="66"/>
      <c r="J43" s="114"/>
      <c r="K43" s="117"/>
    </row>
    <row r="44" spans="2:11" ht="21.6" customHeight="1" x14ac:dyDescent="0.3">
      <c r="B44" s="64">
        <v>43</v>
      </c>
      <c r="C44" s="65" t="s">
        <v>51</v>
      </c>
      <c r="D44" s="65">
        <v>27</v>
      </c>
      <c r="E44" s="65">
        <v>2</v>
      </c>
      <c r="F44" s="66">
        <v>29</v>
      </c>
      <c r="G44" s="66">
        <v>1</v>
      </c>
      <c r="H44" s="66" t="s">
        <v>11</v>
      </c>
      <c r="I44" s="66"/>
      <c r="J44" s="114"/>
      <c r="K44" s="117"/>
    </row>
    <row r="45" spans="2:11" ht="21.6" customHeight="1" x14ac:dyDescent="0.3">
      <c r="B45" s="64">
        <v>44</v>
      </c>
      <c r="C45" s="65" t="s">
        <v>52</v>
      </c>
      <c r="D45" s="65">
        <v>25</v>
      </c>
      <c r="E45" s="65">
        <v>4</v>
      </c>
      <c r="F45" s="66">
        <v>29</v>
      </c>
      <c r="G45" s="66">
        <v>0</v>
      </c>
      <c r="H45" s="66" t="s">
        <v>11</v>
      </c>
      <c r="I45" s="66"/>
      <c r="J45" s="114"/>
      <c r="K45" s="117"/>
    </row>
    <row r="46" spans="2:11" ht="21.6" customHeight="1" x14ac:dyDescent="0.3">
      <c r="B46" s="64">
        <v>45</v>
      </c>
      <c r="C46" s="65" t="s">
        <v>53</v>
      </c>
      <c r="D46" s="65">
        <v>26</v>
      </c>
      <c r="E46" s="65">
        <v>0</v>
      </c>
      <c r="F46" s="66">
        <v>26</v>
      </c>
      <c r="G46" s="66">
        <v>2</v>
      </c>
      <c r="H46" s="66" t="s">
        <v>11</v>
      </c>
      <c r="I46" s="66"/>
      <c r="J46" s="114"/>
      <c r="K46" s="117"/>
    </row>
    <row r="47" spans="2:11" ht="21.6" customHeight="1" x14ac:dyDescent="0.3">
      <c r="B47" s="64">
        <v>46</v>
      </c>
      <c r="C47" s="65" t="s">
        <v>54</v>
      </c>
      <c r="D47" s="65">
        <v>23</v>
      </c>
      <c r="E47" s="65">
        <v>8</v>
      </c>
      <c r="F47" s="66">
        <v>31</v>
      </c>
      <c r="G47" s="66">
        <v>2</v>
      </c>
      <c r="H47" s="66" t="s">
        <v>11</v>
      </c>
      <c r="I47" s="66"/>
      <c r="J47" s="114"/>
      <c r="K47" s="117"/>
    </row>
    <row r="48" spans="2:11" ht="21.6" customHeight="1" thickBot="1" x14ac:dyDescent="0.35">
      <c r="B48" s="64">
        <v>47</v>
      </c>
      <c r="C48" s="65" t="s">
        <v>55</v>
      </c>
      <c r="D48" s="65">
        <v>25</v>
      </c>
      <c r="E48" s="65">
        <v>3</v>
      </c>
      <c r="F48" s="66">
        <v>28</v>
      </c>
      <c r="G48" s="66">
        <v>0</v>
      </c>
      <c r="H48" s="66" t="s">
        <v>11</v>
      </c>
      <c r="I48" s="66"/>
      <c r="J48" s="114"/>
      <c r="K48" s="117"/>
    </row>
    <row r="49" spans="2:11" ht="21" customHeight="1" x14ac:dyDescent="0.3">
      <c r="B49" s="64">
        <v>48</v>
      </c>
      <c r="C49" s="65" t="s">
        <v>56</v>
      </c>
      <c r="D49" s="65">
        <v>35</v>
      </c>
      <c r="E49" s="65">
        <v>3</v>
      </c>
      <c r="F49" s="66">
        <v>38</v>
      </c>
      <c r="G49" s="66">
        <v>2</v>
      </c>
      <c r="H49" s="66" t="s">
        <v>11</v>
      </c>
      <c r="I49" s="66"/>
      <c r="J49" s="114"/>
      <c r="K49" s="117"/>
    </row>
    <row r="50" spans="2:11" ht="21" customHeight="1" x14ac:dyDescent="0.3">
      <c r="B50" s="64">
        <v>49</v>
      </c>
      <c r="C50" s="65" t="s">
        <v>57</v>
      </c>
      <c r="D50" s="65">
        <v>15</v>
      </c>
      <c r="E50" s="65">
        <v>3</v>
      </c>
      <c r="F50" s="66">
        <v>18</v>
      </c>
      <c r="G50" s="66">
        <v>1</v>
      </c>
      <c r="H50" s="66" t="s">
        <v>11</v>
      </c>
      <c r="I50" s="66"/>
      <c r="J50" s="114"/>
      <c r="K50" s="117"/>
    </row>
    <row r="51" spans="2:11" ht="21" customHeight="1" x14ac:dyDescent="0.3">
      <c r="B51" s="64">
        <v>50</v>
      </c>
      <c r="C51" s="65" t="s">
        <v>58</v>
      </c>
      <c r="D51" s="65">
        <v>39</v>
      </c>
      <c r="E51" s="65">
        <v>4</v>
      </c>
      <c r="F51" s="66">
        <v>43</v>
      </c>
      <c r="G51" s="66">
        <v>0</v>
      </c>
      <c r="H51" s="66" t="s">
        <v>11</v>
      </c>
      <c r="I51" s="66"/>
      <c r="J51" s="114"/>
      <c r="K51" s="117"/>
    </row>
    <row r="52" spans="2:11" ht="21" customHeight="1" x14ac:dyDescent="0.3">
      <c r="B52" s="64">
        <v>51</v>
      </c>
      <c r="C52" s="65" t="s">
        <v>59</v>
      </c>
      <c r="D52" s="65">
        <v>23</v>
      </c>
      <c r="E52" s="65">
        <v>1</v>
      </c>
      <c r="F52" s="66">
        <v>24</v>
      </c>
      <c r="G52" s="66">
        <v>1</v>
      </c>
      <c r="H52" s="66" t="s">
        <v>11</v>
      </c>
      <c r="I52" s="66"/>
      <c r="J52" s="114"/>
      <c r="K52" s="117"/>
    </row>
    <row r="53" spans="2:11" ht="21" customHeight="1" thickBot="1" x14ac:dyDescent="0.35">
      <c r="B53" s="64">
        <v>52</v>
      </c>
      <c r="C53" s="65" t="s">
        <v>60</v>
      </c>
      <c r="D53" s="65">
        <v>23</v>
      </c>
      <c r="E53" s="65">
        <v>3</v>
      </c>
      <c r="F53" s="66">
        <v>26</v>
      </c>
      <c r="G53" s="66">
        <v>1</v>
      </c>
      <c r="H53" s="66" t="s">
        <v>11</v>
      </c>
      <c r="I53" s="66"/>
      <c r="J53" s="114"/>
      <c r="K53" s="117"/>
    </row>
    <row r="54" spans="2:11" ht="21" customHeight="1" x14ac:dyDescent="0.3">
      <c r="B54" s="64">
        <v>53</v>
      </c>
      <c r="C54" s="65" t="s">
        <v>61</v>
      </c>
      <c r="D54" s="65">
        <v>28</v>
      </c>
      <c r="E54" s="65">
        <v>2</v>
      </c>
      <c r="F54" s="66">
        <v>30</v>
      </c>
      <c r="G54" s="66">
        <v>2</v>
      </c>
      <c r="H54" s="66" t="s">
        <v>11</v>
      </c>
      <c r="I54" s="66"/>
      <c r="J54" s="114"/>
      <c r="K54" s="117"/>
    </row>
    <row r="55" spans="2:11" ht="21" customHeight="1" x14ac:dyDescent="0.3">
      <c r="B55" s="64">
        <v>54</v>
      </c>
      <c r="C55" s="65" t="s">
        <v>62</v>
      </c>
      <c r="D55" s="65">
        <v>10</v>
      </c>
      <c r="E55" s="65">
        <v>1</v>
      </c>
      <c r="F55" s="66">
        <v>11</v>
      </c>
      <c r="G55" s="66">
        <v>1</v>
      </c>
      <c r="H55" s="66" t="s">
        <v>11</v>
      </c>
      <c r="I55" s="66"/>
      <c r="J55" s="114"/>
      <c r="K55" s="117"/>
    </row>
    <row r="56" spans="2:11" ht="21" customHeight="1" x14ac:dyDescent="0.3">
      <c r="B56" s="64">
        <v>56</v>
      </c>
      <c r="C56" s="65" t="s">
        <v>63</v>
      </c>
      <c r="D56" s="65">
        <v>21</v>
      </c>
      <c r="E56" s="65">
        <v>0</v>
      </c>
      <c r="F56" s="66">
        <v>21</v>
      </c>
      <c r="G56" s="66">
        <v>1</v>
      </c>
      <c r="H56" s="66" t="s">
        <v>11</v>
      </c>
      <c r="I56" s="66"/>
      <c r="J56" s="114"/>
      <c r="K56" s="117"/>
    </row>
    <row r="57" spans="2:11" ht="21" customHeight="1" x14ac:dyDescent="0.3">
      <c r="B57" s="64">
        <v>57</v>
      </c>
      <c r="C57" s="65" t="s">
        <v>64</v>
      </c>
      <c r="D57" s="65">
        <v>27</v>
      </c>
      <c r="E57" s="65">
        <v>3</v>
      </c>
      <c r="F57" s="66">
        <v>30</v>
      </c>
      <c r="G57" s="66">
        <v>2</v>
      </c>
      <c r="H57" s="66" t="s">
        <v>23</v>
      </c>
      <c r="I57" s="66"/>
      <c r="J57" s="114"/>
      <c r="K57" s="117"/>
    </row>
    <row r="58" spans="2:11" ht="21" customHeight="1" x14ac:dyDescent="0.3">
      <c r="B58" s="64">
        <v>58</v>
      </c>
      <c r="C58" s="65" t="s">
        <v>65</v>
      </c>
      <c r="D58" s="65">
        <v>35</v>
      </c>
      <c r="E58" s="65">
        <v>4</v>
      </c>
      <c r="F58" s="66">
        <v>39</v>
      </c>
      <c r="G58" s="66">
        <v>2</v>
      </c>
      <c r="H58" s="66" t="s">
        <v>23</v>
      </c>
      <c r="I58" s="66"/>
      <c r="J58" s="114"/>
      <c r="K58" s="117"/>
    </row>
    <row r="59" spans="2:11" ht="21" customHeight="1" x14ac:dyDescent="0.3">
      <c r="B59" s="64">
        <v>59</v>
      </c>
      <c r="C59" s="65" t="s">
        <v>66</v>
      </c>
      <c r="D59" s="65">
        <v>35</v>
      </c>
      <c r="E59" s="65">
        <v>2</v>
      </c>
      <c r="F59" s="66">
        <v>37</v>
      </c>
      <c r="G59" s="66">
        <v>0</v>
      </c>
      <c r="H59" s="66" t="s">
        <v>35</v>
      </c>
      <c r="I59" s="66"/>
      <c r="J59" s="114"/>
      <c r="K59" s="117"/>
    </row>
    <row r="60" spans="2:11" ht="21" customHeight="1" x14ac:dyDescent="0.3">
      <c r="B60" s="64">
        <v>60</v>
      </c>
      <c r="C60" s="65" t="s">
        <v>67</v>
      </c>
      <c r="D60" s="65">
        <v>30</v>
      </c>
      <c r="E60" s="65">
        <v>4</v>
      </c>
      <c r="F60" s="66">
        <v>34</v>
      </c>
      <c r="G60" s="66">
        <v>2</v>
      </c>
      <c r="H60" s="66" t="s">
        <v>23</v>
      </c>
      <c r="I60" s="66"/>
      <c r="J60" s="114"/>
      <c r="K60" s="117"/>
    </row>
    <row r="61" spans="2:11" ht="21" customHeight="1" thickBot="1" x14ac:dyDescent="0.35">
      <c r="B61" s="64">
        <v>61</v>
      </c>
      <c r="C61" s="65" t="s">
        <v>68</v>
      </c>
      <c r="D61" s="65">
        <v>26</v>
      </c>
      <c r="E61" s="65">
        <v>4</v>
      </c>
      <c r="F61" s="66">
        <v>30</v>
      </c>
      <c r="G61" s="66">
        <v>1</v>
      </c>
      <c r="H61" s="66" t="s">
        <v>35</v>
      </c>
      <c r="I61" s="66"/>
      <c r="J61" s="114"/>
      <c r="K61" s="117"/>
    </row>
    <row r="62" spans="2:11" ht="21" customHeight="1" x14ac:dyDescent="0.3">
      <c r="B62" s="64">
        <v>62</v>
      </c>
      <c r="C62" s="65" t="s">
        <v>69</v>
      </c>
      <c r="D62" s="65">
        <v>28</v>
      </c>
      <c r="E62" s="65">
        <v>0</v>
      </c>
      <c r="F62" s="66">
        <v>28</v>
      </c>
      <c r="G62" s="66">
        <v>2</v>
      </c>
      <c r="H62" s="66" t="s">
        <v>35</v>
      </c>
      <c r="I62" s="66"/>
      <c r="J62" s="114"/>
      <c r="K62" s="117"/>
    </row>
    <row r="63" spans="2:11" ht="21" customHeight="1" x14ac:dyDescent="0.3">
      <c r="B63" s="64">
        <v>63</v>
      </c>
      <c r="C63" s="65" t="s">
        <v>70</v>
      </c>
      <c r="D63" s="65">
        <v>26</v>
      </c>
      <c r="E63" s="65">
        <v>3</v>
      </c>
      <c r="F63" s="66">
        <v>29</v>
      </c>
      <c r="G63" s="66">
        <v>2</v>
      </c>
      <c r="H63" s="66" t="s">
        <v>35</v>
      </c>
      <c r="I63" s="66"/>
      <c r="J63" s="114"/>
      <c r="K63" s="117"/>
    </row>
    <row r="64" spans="2:11" ht="21" customHeight="1" x14ac:dyDescent="0.3">
      <c r="B64" s="64">
        <v>64</v>
      </c>
      <c r="C64" s="65" t="s">
        <v>71</v>
      </c>
      <c r="D64" s="65">
        <v>22</v>
      </c>
      <c r="E64" s="65">
        <v>1</v>
      </c>
      <c r="F64" s="66">
        <v>23</v>
      </c>
      <c r="G64" s="66">
        <v>1</v>
      </c>
      <c r="H64" s="66" t="s">
        <v>23</v>
      </c>
      <c r="I64" s="66"/>
      <c r="J64" s="114"/>
      <c r="K64" s="117"/>
    </row>
    <row r="65" spans="2:11" ht="21" customHeight="1" x14ac:dyDescent="0.3">
      <c r="B65" s="64">
        <v>65</v>
      </c>
      <c r="C65" s="65" t="s">
        <v>72</v>
      </c>
      <c r="D65" s="65">
        <v>26</v>
      </c>
      <c r="E65" s="65">
        <v>2</v>
      </c>
      <c r="F65" s="66">
        <v>28</v>
      </c>
      <c r="G65" s="66">
        <v>1</v>
      </c>
      <c r="H65" s="66" t="s">
        <v>23</v>
      </c>
      <c r="I65" s="66"/>
      <c r="J65" s="114"/>
      <c r="K65" s="117"/>
    </row>
    <row r="66" spans="2:11" ht="21" customHeight="1" x14ac:dyDescent="0.3">
      <c r="B66" s="64">
        <v>66</v>
      </c>
      <c r="C66" s="65" t="s">
        <v>73</v>
      </c>
      <c r="D66" s="65">
        <v>32</v>
      </c>
      <c r="E66" s="65">
        <v>4</v>
      </c>
      <c r="F66" s="66">
        <v>36</v>
      </c>
      <c r="G66" s="66">
        <v>2</v>
      </c>
      <c r="H66" s="66" t="s">
        <v>23</v>
      </c>
      <c r="I66" s="66"/>
      <c r="J66" s="114"/>
      <c r="K66" s="117"/>
    </row>
    <row r="67" spans="2:11" ht="21" customHeight="1" x14ac:dyDescent="0.3">
      <c r="B67" s="64">
        <v>67</v>
      </c>
      <c r="C67" s="65" t="s">
        <v>74</v>
      </c>
      <c r="D67" s="65">
        <v>19</v>
      </c>
      <c r="E67" s="65">
        <v>3</v>
      </c>
      <c r="F67" s="66">
        <v>22</v>
      </c>
      <c r="G67" s="66">
        <v>0</v>
      </c>
      <c r="H67" s="66" t="s">
        <v>23</v>
      </c>
      <c r="I67" s="66"/>
      <c r="J67" s="114"/>
      <c r="K67" s="117"/>
    </row>
    <row r="68" spans="2:11" ht="21" customHeight="1" x14ac:dyDescent="0.3">
      <c r="B68" s="64">
        <v>68</v>
      </c>
      <c r="C68" s="65" t="s">
        <v>75</v>
      </c>
      <c r="D68" s="65">
        <v>26</v>
      </c>
      <c r="E68" s="65">
        <v>4</v>
      </c>
      <c r="F68" s="66">
        <v>30</v>
      </c>
      <c r="G68" s="66">
        <v>0</v>
      </c>
      <c r="H68" s="66" t="s">
        <v>13</v>
      </c>
      <c r="I68" s="66"/>
      <c r="J68" s="114"/>
      <c r="K68" s="117"/>
    </row>
    <row r="69" spans="2:11" ht="21" customHeight="1" x14ac:dyDescent="0.3">
      <c r="B69" s="64">
        <v>69</v>
      </c>
      <c r="C69" s="65" t="s">
        <v>76</v>
      </c>
      <c r="D69" s="65">
        <v>27</v>
      </c>
      <c r="E69" s="65">
        <v>1</v>
      </c>
      <c r="F69" s="66">
        <v>28</v>
      </c>
      <c r="G69" s="66">
        <v>2</v>
      </c>
      <c r="H69" s="66" t="s">
        <v>35</v>
      </c>
      <c r="I69" s="66"/>
      <c r="J69" s="114"/>
      <c r="K69" s="117"/>
    </row>
    <row r="70" spans="2:11" ht="21" customHeight="1" thickBot="1" x14ac:dyDescent="0.35">
      <c r="B70" s="64">
        <v>82</v>
      </c>
      <c r="C70" s="65" t="s">
        <v>77</v>
      </c>
      <c r="D70" s="65">
        <v>26</v>
      </c>
      <c r="E70" s="65">
        <v>3</v>
      </c>
      <c r="F70" s="66">
        <v>29</v>
      </c>
      <c r="G70" s="66">
        <v>0</v>
      </c>
      <c r="H70" s="66" t="s">
        <v>11</v>
      </c>
      <c r="I70" s="66"/>
      <c r="J70" s="115"/>
      <c r="K70" s="118"/>
    </row>
    <row r="71" spans="2:11" ht="22.95" customHeight="1" thickBot="1" x14ac:dyDescent="0.35">
      <c r="B71" s="39">
        <v>19</v>
      </c>
      <c r="C71" s="40" t="s">
        <v>78</v>
      </c>
      <c r="D71" s="40">
        <v>33</v>
      </c>
      <c r="E71" s="40">
        <v>0</v>
      </c>
      <c r="F71" s="41">
        <v>33</v>
      </c>
      <c r="G71" s="41">
        <v>0</v>
      </c>
      <c r="H71" s="41" t="s">
        <v>11</v>
      </c>
      <c r="I71" s="41"/>
      <c r="J71" s="205">
        <v>46376</v>
      </c>
      <c r="K71" s="202">
        <f>SUM(F71:F98)+SUM(G71:G98)</f>
        <v>894</v>
      </c>
    </row>
    <row r="72" spans="2:11" ht="19.2" customHeight="1" x14ac:dyDescent="0.3">
      <c r="B72" s="39">
        <v>55</v>
      </c>
      <c r="C72" s="40" t="s">
        <v>80</v>
      </c>
      <c r="D72" s="40">
        <v>26</v>
      </c>
      <c r="E72" s="40">
        <v>3</v>
      </c>
      <c r="F72" s="41">
        <v>29</v>
      </c>
      <c r="G72" s="41">
        <v>2</v>
      </c>
      <c r="H72" s="41" t="s">
        <v>13</v>
      </c>
      <c r="I72" s="41"/>
      <c r="J72" s="144"/>
      <c r="K72" s="203"/>
    </row>
    <row r="73" spans="2:11" ht="19.2" customHeight="1" x14ac:dyDescent="0.3">
      <c r="B73" s="39">
        <v>70</v>
      </c>
      <c r="C73" s="40" t="s">
        <v>81</v>
      </c>
      <c r="D73" s="40">
        <v>27</v>
      </c>
      <c r="E73" s="40">
        <v>3</v>
      </c>
      <c r="F73" s="41">
        <v>30</v>
      </c>
      <c r="G73" s="41">
        <v>2</v>
      </c>
      <c r="H73" s="41" t="s">
        <v>11</v>
      </c>
      <c r="I73" s="41"/>
      <c r="J73" s="144"/>
      <c r="K73" s="203"/>
    </row>
    <row r="74" spans="2:11" ht="26.4" x14ac:dyDescent="0.3">
      <c r="B74" s="39">
        <v>71</v>
      </c>
      <c r="C74" s="40" t="s">
        <v>82</v>
      </c>
      <c r="D74" s="40">
        <v>26</v>
      </c>
      <c r="E74" s="40">
        <v>8</v>
      </c>
      <c r="F74" s="41">
        <v>34</v>
      </c>
      <c r="G74" s="41">
        <v>1</v>
      </c>
      <c r="H74" s="41" t="s">
        <v>11</v>
      </c>
      <c r="I74" s="41"/>
      <c r="J74" s="144"/>
      <c r="K74" s="203"/>
    </row>
    <row r="75" spans="2:11" x14ac:dyDescent="0.3">
      <c r="B75" s="39">
        <v>72</v>
      </c>
      <c r="C75" s="40" t="s">
        <v>83</v>
      </c>
      <c r="D75" s="40">
        <v>15</v>
      </c>
      <c r="E75" s="40">
        <v>1</v>
      </c>
      <c r="F75" s="41">
        <v>16</v>
      </c>
      <c r="G75" s="41">
        <v>1</v>
      </c>
      <c r="H75" s="41" t="s">
        <v>13</v>
      </c>
      <c r="I75" s="41"/>
      <c r="J75" s="144"/>
      <c r="K75" s="203"/>
    </row>
    <row r="76" spans="2:11" ht="26.4" x14ac:dyDescent="0.3">
      <c r="B76" s="39">
        <v>73</v>
      </c>
      <c r="C76" s="40" t="s">
        <v>84</v>
      </c>
      <c r="D76" s="40">
        <v>36</v>
      </c>
      <c r="E76" s="40">
        <v>0</v>
      </c>
      <c r="F76" s="41">
        <v>36</v>
      </c>
      <c r="G76" s="41">
        <v>2</v>
      </c>
      <c r="H76" s="41" t="s">
        <v>11</v>
      </c>
      <c r="I76" s="41"/>
      <c r="J76" s="144"/>
      <c r="K76" s="203"/>
    </row>
    <row r="77" spans="2:11" ht="26.4" x14ac:dyDescent="0.3">
      <c r="B77" s="39">
        <v>74</v>
      </c>
      <c r="C77" s="40" t="s">
        <v>85</v>
      </c>
      <c r="D77" s="40">
        <v>19</v>
      </c>
      <c r="E77" s="40">
        <v>3</v>
      </c>
      <c r="F77" s="41">
        <v>22</v>
      </c>
      <c r="G77" s="41">
        <v>0</v>
      </c>
      <c r="H77" s="41" t="s">
        <v>11</v>
      </c>
      <c r="I77" s="41"/>
      <c r="J77" s="144"/>
      <c r="K77" s="203"/>
    </row>
    <row r="78" spans="2:11" ht="26.4" x14ac:dyDescent="0.3">
      <c r="B78" s="39">
        <v>75</v>
      </c>
      <c r="C78" s="40" t="s">
        <v>86</v>
      </c>
      <c r="D78" s="40">
        <v>37</v>
      </c>
      <c r="E78" s="40">
        <v>9</v>
      </c>
      <c r="F78" s="41">
        <v>46</v>
      </c>
      <c r="G78" s="41">
        <v>0</v>
      </c>
      <c r="H78" s="41" t="s">
        <v>11</v>
      </c>
      <c r="I78" s="41"/>
      <c r="J78" s="144"/>
      <c r="K78" s="203"/>
    </row>
    <row r="79" spans="2:11" ht="26.4" x14ac:dyDescent="0.3">
      <c r="B79" s="39">
        <v>76</v>
      </c>
      <c r="C79" s="40" t="s">
        <v>87</v>
      </c>
      <c r="D79" s="40">
        <v>30</v>
      </c>
      <c r="E79" s="40">
        <v>6</v>
      </c>
      <c r="F79" s="41">
        <v>36</v>
      </c>
      <c r="G79" s="41">
        <v>2</v>
      </c>
      <c r="H79" s="41" t="s">
        <v>11</v>
      </c>
      <c r="I79" s="41"/>
      <c r="J79" s="144"/>
      <c r="K79" s="203"/>
    </row>
    <row r="80" spans="2:11" ht="26.4" x14ac:dyDescent="0.3">
      <c r="B80" s="39">
        <v>77</v>
      </c>
      <c r="C80" s="40" t="s">
        <v>88</v>
      </c>
      <c r="D80" s="40">
        <v>26</v>
      </c>
      <c r="E80" s="40">
        <v>10</v>
      </c>
      <c r="F80" s="41">
        <v>36</v>
      </c>
      <c r="G80" s="41">
        <v>2</v>
      </c>
      <c r="H80" s="41" t="s">
        <v>11</v>
      </c>
      <c r="I80" s="41"/>
      <c r="J80" s="144"/>
      <c r="K80" s="203"/>
    </row>
    <row r="81" spans="2:11" ht="26.4" x14ac:dyDescent="0.3">
      <c r="B81" s="39">
        <v>78</v>
      </c>
      <c r="C81" s="40" t="s">
        <v>89</v>
      </c>
      <c r="D81" s="40">
        <v>37</v>
      </c>
      <c r="E81" s="40">
        <v>7</v>
      </c>
      <c r="F81" s="41">
        <v>44</v>
      </c>
      <c r="G81" s="41">
        <v>0</v>
      </c>
      <c r="H81" s="41" t="s">
        <v>11</v>
      </c>
      <c r="I81" s="41"/>
      <c r="J81" s="144"/>
      <c r="K81" s="203"/>
    </row>
    <row r="82" spans="2:11" ht="26.4" x14ac:dyDescent="0.3">
      <c r="B82" s="39">
        <v>79</v>
      </c>
      <c r="C82" s="40" t="s">
        <v>90</v>
      </c>
      <c r="D82" s="40">
        <v>36</v>
      </c>
      <c r="E82" s="40">
        <v>6</v>
      </c>
      <c r="F82" s="41">
        <v>42</v>
      </c>
      <c r="G82" s="41">
        <v>3</v>
      </c>
      <c r="H82" s="41" t="s">
        <v>11</v>
      </c>
      <c r="I82" s="41"/>
      <c r="J82" s="144"/>
      <c r="K82" s="203"/>
    </row>
    <row r="83" spans="2:11" ht="26.4" x14ac:dyDescent="0.3">
      <c r="B83" s="39">
        <v>80</v>
      </c>
      <c r="C83" s="40" t="s">
        <v>91</v>
      </c>
      <c r="D83" s="40">
        <v>32</v>
      </c>
      <c r="E83" s="40">
        <v>0</v>
      </c>
      <c r="F83" s="41">
        <v>32</v>
      </c>
      <c r="G83" s="41">
        <v>2</v>
      </c>
      <c r="H83" s="41" t="s">
        <v>11</v>
      </c>
      <c r="I83" s="41"/>
      <c r="J83" s="144"/>
      <c r="K83" s="203"/>
    </row>
    <row r="84" spans="2:11" ht="26.4" x14ac:dyDescent="0.3">
      <c r="B84" s="39">
        <v>81</v>
      </c>
      <c r="C84" s="40" t="s">
        <v>92</v>
      </c>
      <c r="D84" s="40">
        <v>29</v>
      </c>
      <c r="E84" s="40">
        <v>2</v>
      </c>
      <c r="F84" s="41">
        <v>31</v>
      </c>
      <c r="G84" s="41">
        <v>2</v>
      </c>
      <c r="H84" s="41" t="s">
        <v>11</v>
      </c>
      <c r="I84" s="41"/>
      <c r="J84" s="144"/>
      <c r="K84" s="203"/>
    </row>
    <row r="85" spans="2:11" ht="26.4" x14ac:dyDescent="0.3">
      <c r="B85" s="39">
        <v>83</v>
      </c>
      <c r="C85" s="40" t="s">
        <v>93</v>
      </c>
      <c r="D85" s="40">
        <v>25</v>
      </c>
      <c r="E85" s="40">
        <v>6</v>
      </c>
      <c r="F85" s="41">
        <v>31</v>
      </c>
      <c r="G85" s="41">
        <v>2</v>
      </c>
      <c r="H85" s="41" t="s">
        <v>11</v>
      </c>
      <c r="I85" s="41"/>
      <c r="J85" s="144"/>
      <c r="K85" s="203"/>
    </row>
    <row r="86" spans="2:11" ht="26.4" x14ac:dyDescent="0.3">
      <c r="B86" s="39">
        <v>84</v>
      </c>
      <c r="C86" s="40" t="s">
        <v>94</v>
      </c>
      <c r="D86" s="40">
        <v>21</v>
      </c>
      <c r="E86" s="40">
        <v>8</v>
      </c>
      <c r="F86" s="41">
        <v>29</v>
      </c>
      <c r="G86" s="41">
        <v>1</v>
      </c>
      <c r="H86" s="41" t="s">
        <v>23</v>
      </c>
      <c r="I86" s="41"/>
      <c r="J86" s="144"/>
      <c r="K86" s="203"/>
    </row>
    <row r="87" spans="2:11" ht="26.4" x14ac:dyDescent="0.3">
      <c r="B87" s="39">
        <v>85</v>
      </c>
      <c r="C87" s="40" t="s">
        <v>95</v>
      </c>
      <c r="D87" s="40">
        <v>27</v>
      </c>
      <c r="E87" s="40">
        <v>2</v>
      </c>
      <c r="F87" s="41">
        <v>29</v>
      </c>
      <c r="G87" s="41">
        <v>1</v>
      </c>
      <c r="H87" s="41" t="s">
        <v>23</v>
      </c>
      <c r="I87" s="41"/>
      <c r="J87" s="144"/>
      <c r="K87" s="203"/>
    </row>
    <row r="88" spans="2:11" x14ac:dyDescent="0.3">
      <c r="B88" s="39">
        <v>86</v>
      </c>
      <c r="C88" s="40" t="s">
        <v>96</v>
      </c>
      <c r="D88" s="40">
        <v>20</v>
      </c>
      <c r="E88" s="40">
        <v>1</v>
      </c>
      <c r="F88" s="41">
        <v>21</v>
      </c>
      <c r="G88" s="41">
        <v>1</v>
      </c>
      <c r="H88" s="41" t="s">
        <v>23</v>
      </c>
      <c r="I88" s="41"/>
      <c r="J88" s="144"/>
      <c r="K88" s="203"/>
    </row>
    <row r="89" spans="2:11" ht="26.4" x14ac:dyDescent="0.3">
      <c r="B89" s="39">
        <v>87</v>
      </c>
      <c r="C89" s="40" t="s">
        <v>97</v>
      </c>
      <c r="D89" s="40">
        <v>65</v>
      </c>
      <c r="E89" s="40">
        <v>5</v>
      </c>
      <c r="F89" s="41">
        <v>70</v>
      </c>
      <c r="G89" s="41">
        <v>3</v>
      </c>
      <c r="H89" s="41" t="s">
        <v>35</v>
      </c>
      <c r="I89" s="41"/>
      <c r="J89" s="144"/>
      <c r="K89" s="203"/>
    </row>
    <row r="90" spans="2:11" x14ac:dyDescent="0.3">
      <c r="B90" s="39">
        <v>88</v>
      </c>
      <c r="C90" s="40" t="s">
        <v>98</v>
      </c>
      <c r="D90" s="40">
        <v>21</v>
      </c>
      <c r="E90" s="40">
        <v>2</v>
      </c>
      <c r="F90" s="41">
        <v>23</v>
      </c>
      <c r="G90" s="41">
        <v>1</v>
      </c>
      <c r="H90" s="41" t="s">
        <v>23</v>
      </c>
      <c r="I90" s="41"/>
      <c r="J90" s="144"/>
      <c r="K90" s="203"/>
    </row>
    <row r="91" spans="2:11" ht="26.4" x14ac:dyDescent="0.3">
      <c r="B91" s="39">
        <v>89</v>
      </c>
      <c r="C91" s="40" t="s">
        <v>99</v>
      </c>
      <c r="D91" s="40">
        <v>16</v>
      </c>
      <c r="E91" s="40">
        <v>1</v>
      </c>
      <c r="F91" s="41">
        <v>17</v>
      </c>
      <c r="G91" s="41">
        <v>0</v>
      </c>
      <c r="H91" s="41" t="s">
        <v>23</v>
      </c>
      <c r="I91" s="41"/>
      <c r="J91" s="144"/>
      <c r="K91" s="203"/>
    </row>
    <row r="92" spans="2:11" x14ac:dyDescent="0.3">
      <c r="B92" s="39">
        <v>90</v>
      </c>
      <c r="C92" s="40" t="s">
        <v>100</v>
      </c>
      <c r="D92" s="40">
        <v>33</v>
      </c>
      <c r="E92" s="40">
        <v>3</v>
      </c>
      <c r="F92" s="41">
        <v>36</v>
      </c>
      <c r="G92" s="41">
        <v>0</v>
      </c>
      <c r="H92" s="41" t="s">
        <v>23</v>
      </c>
      <c r="I92" s="41"/>
      <c r="J92" s="144"/>
      <c r="K92" s="203"/>
    </row>
    <row r="93" spans="2:11" ht="26.4" x14ac:dyDescent="0.3">
      <c r="B93" s="39">
        <v>91</v>
      </c>
      <c r="C93" s="40" t="s">
        <v>101</v>
      </c>
      <c r="D93" s="40">
        <v>28</v>
      </c>
      <c r="E93" s="40">
        <v>3</v>
      </c>
      <c r="F93" s="41">
        <v>31</v>
      </c>
      <c r="G93" s="41">
        <v>0</v>
      </c>
      <c r="H93" s="41" t="s">
        <v>23</v>
      </c>
      <c r="I93" s="41"/>
      <c r="J93" s="144"/>
      <c r="K93" s="203"/>
    </row>
    <row r="94" spans="2:11" x14ac:dyDescent="0.3">
      <c r="B94" s="39">
        <v>92</v>
      </c>
      <c r="C94" s="40" t="s">
        <v>102</v>
      </c>
      <c r="D94" s="40">
        <v>12</v>
      </c>
      <c r="E94" s="40">
        <v>2</v>
      </c>
      <c r="F94" s="41">
        <v>14</v>
      </c>
      <c r="G94" s="41">
        <v>1</v>
      </c>
      <c r="H94" s="41" t="s">
        <v>35</v>
      </c>
      <c r="I94" s="41"/>
      <c r="J94" s="144"/>
      <c r="K94" s="203"/>
    </row>
    <row r="95" spans="2:11" x14ac:dyDescent="0.3">
      <c r="B95" s="39">
        <v>93</v>
      </c>
      <c r="C95" s="40" t="s">
        <v>103</v>
      </c>
      <c r="D95" s="40">
        <v>21</v>
      </c>
      <c r="E95" s="40">
        <v>3</v>
      </c>
      <c r="F95" s="41">
        <v>24</v>
      </c>
      <c r="G95" s="41">
        <v>1</v>
      </c>
      <c r="H95" s="41" t="s">
        <v>35</v>
      </c>
      <c r="I95" s="41"/>
      <c r="J95" s="144"/>
      <c r="K95" s="203"/>
    </row>
    <row r="96" spans="2:11" x14ac:dyDescent="0.3">
      <c r="B96" s="39">
        <v>94</v>
      </c>
      <c r="C96" s="40" t="s">
        <v>104</v>
      </c>
      <c r="D96" s="40">
        <v>3</v>
      </c>
      <c r="E96" s="40"/>
      <c r="F96" s="41">
        <v>3</v>
      </c>
      <c r="G96" s="41">
        <v>1</v>
      </c>
      <c r="H96" s="41" t="s">
        <v>105</v>
      </c>
      <c r="I96" s="41"/>
      <c r="J96" s="144"/>
      <c r="K96" s="203"/>
    </row>
    <row r="97" spans="2:11" ht="26.4" x14ac:dyDescent="0.3">
      <c r="B97" s="39">
        <v>95</v>
      </c>
      <c r="C97" s="40" t="s">
        <v>106</v>
      </c>
      <c r="D97" s="40">
        <v>28</v>
      </c>
      <c r="E97" s="40">
        <v>0</v>
      </c>
      <c r="F97" s="41">
        <v>28</v>
      </c>
      <c r="G97" s="41">
        <v>2</v>
      </c>
      <c r="H97" s="41" t="s">
        <v>11</v>
      </c>
      <c r="I97" s="41"/>
      <c r="J97" s="144"/>
      <c r="K97" s="203"/>
    </row>
    <row r="98" spans="2:11" ht="26.4" x14ac:dyDescent="0.3">
      <c r="B98" s="39">
        <v>96</v>
      </c>
      <c r="C98" s="40" t="s">
        <v>107</v>
      </c>
      <c r="D98" s="40">
        <v>36</v>
      </c>
      <c r="E98" s="40">
        <v>0</v>
      </c>
      <c r="F98" s="41">
        <v>36</v>
      </c>
      <c r="G98" s="41">
        <v>2</v>
      </c>
      <c r="H98" s="41" t="s">
        <v>11</v>
      </c>
      <c r="I98" s="41"/>
      <c r="J98" s="206"/>
      <c r="K98" s="204"/>
    </row>
    <row r="99" spans="2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2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2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2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2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2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2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2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2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2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2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2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2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2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2">
    <mergeCell ref="J5:J10"/>
    <mergeCell ref="B2:C2"/>
    <mergeCell ref="B1:K1"/>
    <mergeCell ref="K36:K37"/>
    <mergeCell ref="J71:J98"/>
    <mergeCell ref="K71:K98"/>
    <mergeCell ref="J38:J70"/>
    <mergeCell ref="K11:K35"/>
    <mergeCell ref="J11:J35"/>
    <mergeCell ref="K38:K70"/>
    <mergeCell ref="J36:J37"/>
    <mergeCell ref="K5:K10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30" t="s">
        <v>307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2:11" s="3" customFormat="1" ht="24.6" customHeight="1" thickBot="1" x14ac:dyDescent="0.35">
      <c r="B2" s="122" t="s">
        <v>1</v>
      </c>
      <c r="C2" s="123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1</v>
      </c>
      <c r="C3" s="40" t="s">
        <v>10</v>
      </c>
      <c r="D3" s="40">
        <v>57</v>
      </c>
      <c r="E3" s="40">
        <v>6</v>
      </c>
      <c r="F3" s="41">
        <v>63</v>
      </c>
      <c r="G3" s="41">
        <v>3</v>
      </c>
      <c r="H3" s="41" t="s">
        <v>11</v>
      </c>
      <c r="I3" s="41"/>
      <c r="J3" s="42">
        <v>46284</v>
      </c>
      <c r="K3" s="43">
        <f>F3+G3</f>
        <v>66</v>
      </c>
    </row>
    <row r="4" spans="2:11" ht="19.95" customHeight="1" x14ac:dyDescent="0.3">
      <c r="B4" s="44">
        <v>2</v>
      </c>
      <c r="C4" s="45" t="s">
        <v>292</v>
      </c>
      <c r="D4" s="45">
        <v>19</v>
      </c>
      <c r="E4" s="45">
        <v>4</v>
      </c>
      <c r="F4" s="46">
        <v>23</v>
      </c>
      <c r="G4" s="46">
        <v>2</v>
      </c>
      <c r="H4" s="46" t="s">
        <v>23</v>
      </c>
      <c r="I4" s="46"/>
      <c r="J4" s="47">
        <v>46346</v>
      </c>
      <c r="K4" s="48">
        <f>F4+G4</f>
        <v>25</v>
      </c>
    </row>
    <row r="5" spans="2:11" ht="19.95" customHeight="1" x14ac:dyDescent="0.3">
      <c r="B5" s="49">
        <v>3</v>
      </c>
      <c r="C5" s="50" t="s">
        <v>293</v>
      </c>
      <c r="D5" s="50">
        <v>16</v>
      </c>
      <c r="E5" s="50">
        <v>4</v>
      </c>
      <c r="F5" s="51">
        <v>20</v>
      </c>
      <c r="G5" s="51">
        <v>1</v>
      </c>
      <c r="H5" s="51" t="s">
        <v>11</v>
      </c>
      <c r="I5" s="51"/>
      <c r="J5" s="127">
        <v>46354</v>
      </c>
      <c r="K5" s="137">
        <f>SUM(F5:F10)+SUM(G5:G10)</f>
        <v>324</v>
      </c>
    </row>
    <row r="6" spans="2:11" ht="19.95" customHeight="1" x14ac:dyDescent="0.3">
      <c r="B6" s="49">
        <v>4</v>
      </c>
      <c r="C6" s="50" t="s">
        <v>294</v>
      </c>
      <c r="D6" s="50">
        <v>29</v>
      </c>
      <c r="E6" s="50">
        <v>4</v>
      </c>
      <c r="F6" s="51">
        <v>33</v>
      </c>
      <c r="G6" s="51">
        <v>2</v>
      </c>
      <c r="H6" s="51" t="s">
        <v>11</v>
      </c>
      <c r="I6" s="51"/>
      <c r="J6" s="128"/>
      <c r="K6" s="138"/>
    </row>
    <row r="7" spans="2:11" ht="19.95" customHeight="1" x14ac:dyDescent="0.3">
      <c r="B7" s="49">
        <v>5</v>
      </c>
      <c r="C7" s="50" t="s">
        <v>295</v>
      </c>
      <c r="D7" s="50">
        <v>30</v>
      </c>
      <c r="E7" s="50">
        <v>4</v>
      </c>
      <c r="F7" s="51">
        <v>34</v>
      </c>
      <c r="G7" s="51">
        <v>2</v>
      </c>
      <c r="H7" s="51" t="s">
        <v>11</v>
      </c>
      <c r="I7" s="51"/>
      <c r="J7" s="128"/>
      <c r="K7" s="138"/>
    </row>
    <row r="8" spans="2:11" ht="19.95" customHeight="1" x14ac:dyDescent="0.3">
      <c r="B8" s="49">
        <v>6</v>
      </c>
      <c r="C8" s="50" t="s">
        <v>296</v>
      </c>
      <c r="D8" s="50">
        <v>126</v>
      </c>
      <c r="E8" s="50">
        <v>17</v>
      </c>
      <c r="F8" s="51">
        <v>143</v>
      </c>
      <c r="G8" s="51">
        <v>7</v>
      </c>
      <c r="H8" s="51" t="s">
        <v>11</v>
      </c>
      <c r="I8" s="51"/>
      <c r="J8" s="128"/>
      <c r="K8" s="138"/>
    </row>
    <row r="9" spans="2:11" ht="19.95" customHeight="1" thickBot="1" x14ac:dyDescent="0.35">
      <c r="B9" s="49">
        <v>7</v>
      </c>
      <c r="C9" s="50" t="s">
        <v>297</v>
      </c>
      <c r="D9" s="50">
        <v>39</v>
      </c>
      <c r="E9" s="50">
        <v>0</v>
      </c>
      <c r="F9" s="51">
        <v>39</v>
      </c>
      <c r="G9" s="51">
        <v>3</v>
      </c>
      <c r="H9" s="51" t="s">
        <v>11</v>
      </c>
      <c r="I9" s="51"/>
      <c r="J9" s="128"/>
      <c r="K9" s="138"/>
    </row>
    <row r="10" spans="2:11" ht="19.95" customHeight="1" x14ac:dyDescent="0.3">
      <c r="B10" s="49">
        <v>8</v>
      </c>
      <c r="C10" s="50" t="s">
        <v>298</v>
      </c>
      <c r="D10" s="50">
        <v>35</v>
      </c>
      <c r="E10" s="50">
        <v>3</v>
      </c>
      <c r="F10" s="51">
        <v>38</v>
      </c>
      <c r="G10" s="51">
        <v>2</v>
      </c>
      <c r="H10" s="51" t="s">
        <v>11</v>
      </c>
      <c r="I10" s="51"/>
      <c r="J10" s="129"/>
      <c r="K10" s="139"/>
    </row>
    <row r="11" spans="2:11" ht="19.95" customHeight="1" x14ac:dyDescent="0.3">
      <c r="B11" s="54">
        <v>9</v>
      </c>
      <c r="C11" s="55" t="s">
        <v>14</v>
      </c>
      <c r="D11" s="55">
        <v>30</v>
      </c>
      <c r="E11" s="55">
        <v>3</v>
      </c>
      <c r="F11" s="56">
        <v>33</v>
      </c>
      <c r="G11" s="56">
        <v>2</v>
      </c>
      <c r="H11" s="56" t="s">
        <v>11</v>
      </c>
      <c r="I11" s="56"/>
      <c r="J11" s="133" t="s">
        <v>299</v>
      </c>
      <c r="K11" s="135">
        <f>SUM(F11:F34)+SUM(G11:G34)</f>
        <v>777</v>
      </c>
    </row>
    <row r="12" spans="2:11" ht="19.95" customHeight="1" x14ac:dyDescent="0.3">
      <c r="B12" s="54">
        <v>10</v>
      </c>
      <c r="C12" s="55" t="s">
        <v>16</v>
      </c>
      <c r="D12" s="55">
        <v>24</v>
      </c>
      <c r="E12" s="55">
        <v>2</v>
      </c>
      <c r="F12" s="56">
        <v>26</v>
      </c>
      <c r="G12" s="56">
        <v>2</v>
      </c>
      <c r="H12" s="56" t="s">
        <v>11</v>
      </c>
      <c r="I12" s="56"/>
      <c r="J12" s="151"/>
      <c r="K12" s="207"/>
    </row>
    <row r="13" spans="2:11" ht="19.95" customHeight="1" x14ac:dyDescent="0.3">
      <c r="B13" s="54">
        <v>11</v>
      </c>
      <c r="C13" s="55" t="s">
        <v>17</v>
      </c>
      <c r="D13" s="55">
        <v>20</v>
      </c>
      <c r="E13" s="55">
        <v>2</v>
      </c>
      <c r="F13" s="56">
        <v>22</v>
      </c>
      <c r="G13" s="56">
        <v>1</v>
      </c>
      <c r="H13" s="56" t="s">
        <v>11</v>
      </c>
      <c r="I13" s="56"/>
      <c r="J13" s="151"/>
      <c r="K13" s="207"/>
    </row>
    <row r="14" spans="2:11" ht="19.95" customHeight="1" x14ac:dyDescent="0.3">
      <c r="B14" s="54">
        <v>12</v>
      </c>
      <c r="C14" s="55" t="s">
        <v>18</v>
      </c>
      <c r="D14" s="55">
        <v>27</v>
      </c>
      <c r="E14" s="55">
        <v>0</v>
      </c>
      <c r="F14" s="56">
        <v>27</v>
      </c>
      <c r="G14" s="56">
        <v>1</v>
      </c>
      <c r="H14" s="56" t="s">
        <v>11</v>
      </c>
      <c r="I14" s="56"/>
      <c r="J14" s="151"/>
      <c r="K14" s="207"/>
    </row>
    <row r="15" spans="2:11" ht="19.95" customHeight="1" thickBot="1" x14ac:dyDescent="0.35">
      <c r="B15" s="54">
        <v>13</v>
      </c>
      <c r="C15" s="55" t="s">
        <v>19</v>
      </c>
      <c r="D15" s="55">
        <v>79</v>
      </c>
      <c r="E15" s="55">
        <v>0</v>
      </c>
      <c r="F15" s="56">
        <v>79</v>
      </c>
      <c r="G15" s="56">
        <v>4</v>
      </c>
      <c r="H15" s="56" t="s">
        <v>11</v>
      </c>
      <c r="I15" s="56"/>
      <c r="J15" s="151"/>
      <c r="K15" s="207"/>
    </row>
    <row r="16" spans="2:11" ht="19.95" customHeight="1" x14ac:dyDescent="0.3">
      <c r="B16" s="54">
        <v>14</v>
      </c>
      <c r="C16" s="55" t="s">
        <v>20</v>
      </c>
      <c r="D16" s="55">
        <v>24</v>
      </c>
      <c r="E16" s="55">
        <v>4</v>
      </c>
      <c r="F16" s="56">
        <v>28</v>
      </c>
      <c r="G16" s="56">
        <v>0</v>
      </c>
      <c r="H16" s="56" t="s">
        <v>11</v>
      </c>
      <c r="I16" s="56"/>
      <c r="J16" s="151"/>
      <c r="K16" s="207"/>
    </row>
    <row r="17" spans="2:11" ht="19.95" customHeight="1" x14ac:dyDescent="0.3">
      <c r="B17" s="54">
        <v>15</v>
      </c>
      <c r="C17" s="55" t="s">
        <v>21</v>
      </c>
      <c r="D17" s="55">
        <v>35</v>
      </c>
      <c r="E17" s="55">
        <v>7</v>
      </c>
      <c r="F17" s="56">
        <v>42</v>
      </c>
      <c r="G17" s="56">
        <v>3</v>
      </c>
      <c r="H17" s="56" t="s">
        <v>11</v>
      </c>
      <c r="I17" s="56"/>
      <c r="J17" s="151"/>
      <c r="K17" s="207"/>
    </row>
    <row r="18" spans="2:11" ht="19.95" customHeight="1" x14ac:dyDescent="0.3">
      <c r="B18" s="54">
        <v>16</v>
      </c>
      <c r="C18" s="55" t="s">
        <v>22</v>
      </c>
      <c r="D18" s="55">
        <v>24</v>
      </c>
      <c r="E18" s="55">
        <v>2</v>
      </c>
      <c r="F18" s="56">
        <v>26</v>
      </c>
      <c r="G18" s="56">
        <v>0</v>
      </c>
      <c r="H18" s="56" t="s">
        <v>23</v>
      </c>
      <c r="I18" s="56"/>
      <c r="J18" s="151"/>
      <c r="K18" s="207"/>
    </row>
    <row r="19" spans="2:11" ht="19.95" customHeight="1" x14ac:dyDescent="0.3">
      <c r="B19" s="54">
        <v>17</v>
      </c>
      <c r="C19" s="55" t="s">
        <v>24</v>
      </c>
      <c r="D19" s="55">
        <v>31</v>
      </c>
      <c r="E19" s="55">
        <v>7</v>
      </c>
      <c r="F19" s="56">
        <v>38</v>
      </c>
      <c r="G19" s="56">
        <v>0</v>
      </c>
      <c r="H19" s="56" t="s">
        <v>11</v>
      </c>
      <c r="I19" s="56"/>
      <c r="J19" s="151"/>
      <c r="K19" s="207"/>
    </row>
    <row r="20" spans="2:11" ht="19.95" customHeight="1" x14ac:dyDescent="0.3">
      <c r="B20" s="54">
        <v>18</v>
      </c>
      <c r="C20" s="55" t="s">
        <v>25</v>
      </c>
      <c r="D20" s="55">
        <v>29</v>
      </c>
      <c r="E20" s="55">
        <v>3</v>
      </c>
      <c r="F20" s="56">
        <v>32</v>
      </c>
      <c r="G20" s="56">
        <v>1</v>
      </c>
      <c r="H20" s="56" t="s">
        <v>11</v>
      </c>
      <c r="I20" s="56"/>
      <c r="J20" s="151"/>
      <c r="K20" s="207"/>
    </row>
    <row r="21" spans="2:11" ht="19.95" customHeight="1" x14ac:dyDescent="0.3">
      <c r="B21" s="54">
        <v>20</v>
      </c>
      <c r="C21" s="55" t="s">
        <v>26</v>
      </c>
      <c r="D21" s="55">
        <v>20</v>
      </c>
      <c r="E21" s="55">
        <v>0</v>
      </c>
      <c r="F21" s="56">
        <v>20</v>
      </c>
      <c r="G21" s="56">
        <v>1</v>
      </c>
      <c r="H21" s="56" t="s">
        <v>11</v>
      </c>
      <c r="I21" s="56"/>
      <c r="J21" s="151"/>
      <c r="K21" s="207"/>
    </row>
    <row r="22" spans="2:11" ht="19.95" customHeight="1" thickBot="1" x14ac:dyDescent="0.35">
      <c r="B22" s="54">
        <v>21</v>
      </c>
      <c r="C22" s="55" t="s">
        <v>27</v>
      </c>
      <c r="D22" s="55">
        <v>25</v>
      </c>
      <c r="E22" s="55">
        <v>0</v>
      </c>
      <c r="F22" s="56">
        <v>25</v>
      </c>
      <c r="G22" s="56">
        <v>2</v>
      </c>
      <c r="H22" s="56" t="s">
        <v>11</v>
      </c>
      <c r="I22" s="56"/>
      <c r="J22" s="151"/>
      <c r="K22" s="207"/>
    </row>
    <row r="23" spans="2:11" ht="21.6" customHeight="1" x14ac:dyDescent="0.3">
      <c r="B23" s="54">
        <v>22</v>
      </c>
      <c r="C23" s="55" t="s">
        <v>28</v>
      </c>
      <c r="D23" s="55">
        <v>75</v>
      </c>
      <c r="E23" s="55">
        <v>0</v>
      </c>
      <c r="F23" s="56">
        <v>75</v>
      </c>
      <c r="G23" s="56">
        <v>4</v>
      </c>
      <c r="H23" s="56" t="s">
        <v>11</v>
      </c>
      <c r="I23" s="56"/>
      <c r="J23" s="151"/>
      <c r="K23" s="207"/>
    </row>
    <row r="24" spans="2:11" ht="21.6" customHeight="1" x14ac:dyDescent="0.3">
      <c r="B24" s="54">
        <v>23</v>
      </c>
      <c r="C24" s="55" t="s">
        <v>29</v>
      </c>
      <c r="D24" s="55">
        <v>24</v>
      </c>
      <c r="E24" s="55">
        <v>2</v>
      </c>
      <c r="F24" s="56">
        <v>26</v>
      </c>
      <c r="G24" s="56">
        <v>0</v>
      </c>
      <c r="H24" s="56" t="s">
        <v>23</v>
      </c>
      <c r="I24" s="56"/>
      <c r="J24" s="151"/>
      <c r="K24" s="207"/>
    </row>
    <row r="25" spans="2:11" ht="21.6" customHeight="1" x14ac:dyDescent="0.3">
      <c r="B25" s="54">
        <v>24</v>
      </c>
      <c r="C25" s="55" t="s">
        <v>30</v>
      </c>
      <c r="D25" s="55">
        <v>27</v>
      </c>
      <c r="E25" s="55">
        <v>4</v>
      </c>
      <c r="F25" s="56">
        <v>31</v>
      </c>
      <c r="G25" s="56">
        <v>2</v>
      </c>
      <c r="H25" s="56" t="s">
        <v>23</v>
      </c>
      <c r="I25" s="56"/>
      <c r="J25" s="151"/>
      <c r="K25" s="207"/>
    </row>
    <row r="26" spans="2:11" ht="21.6" customHeight="1" x14ac:dyDescent="0.3">
      <c r="B26" s="54">
        <v>25</v>
      </c>
      <c r="C26" s="55" t="s">
        <v>31</v>
      </c>
      <c r="D26" s="55">
        <v>19</v>
      </c>
      <c r="E26" s="55">
        <v>4</v>
      </c>
      <c r="F26" s="56">
        <v>23</v>
      </c>
      <c r="G26" s="56">
        <v>1</v>
      </c>
      <c r="H26" s="56" t="s">
        <v>23</v>
      </c>
      <c r="I26" s="56"/>
      <c r="J26" s="151"/>
      <c r="K26" s="207"/>
    </row>
    <row r="27" spans="2:11" ht="21.6" customHeight="1" x14ac:dyDescent="0.3">
      <c r="B27" s="54">
        <v>26</v>
      </c>
      <c r="C27" s="55" t="s">
        <v>32</v>
      </c>
      <c r="D27" s="55">
        <v>9</v>
      </c>
      <c r="E27" s="55">
        <v>0</v>
      </c>
      <c r="F27" s="56">
        <v>9</v>
      </c>
      <c r="G27" s="56">
        <v>1</v>
      </c>
      <c r="H27" s="56" t="s">
        <v>13</v>
      </c>
      <c r="I27" s="56"/>
      <c r="J27" s="151"/>
      <c r="K27" s="207"/>
    </row>
    <row r="28" spans="2:11" ht="21.6" customHeight="1" x14ac:dyDescent="0.3">
      <c r="B28" s="54">
        <v>27</v>
      </c>
      <c r="C28" s="55" t="s">
        <v>33</v>
      </c>
      <c r="D28" s="55">
        <v>18</v>
      </c>
      <c r="E28" s="55">
        <v>4</v>
      </c>
      <c r="F28" s="56">
        <v>22</v>
      </c>
      <c r="G28" s="56">
        <v>2</v>
      </c>
      <c r="H28" s="56" t="s">
        <v>23</v>
      </c>
      <c r="I28" s="56"/>
      <c r="J28" s="151"/>
      <c r="K28" s="207"/>
    </row>
    <row r="29" spans="2:11" ht="21.6" customHeight="1" x14ac:dyDescent="0.3">
      <c r="B29" s="54">
        <v>28</v>
      </c>
      <c r="C29" s="55" t="s">
        <v>34</v>
      </c>
      <c r="D29" s="55">
        <v>23</v>
      </c>
      <c r="E29" s="55">
        <v>4</v>
      </c>
      <c r="F29" s="56">
        <v>27</v>
      </c>
      <c r="G29" s="56">
        <v>0</v>
      </c>
      <c r="H29" s="56" t="s">
        <v>35</v>
      </c>
      <c r="I29" s="56"/>
      <c r="J29" s="151"/>
      <c r="K29" s="207"/>
    </row>
    <row r="30" spans="2:11" ht="21.6" customHeight="1" thickBot="1" x14ac:dyDescent="0.35">
      <c r="B30" s="54">
        <v>29</v>
      </c>
      <c r="C30" s="55" t="s">
        <v>36</v>
      </c>
      <c r="D30" s="55">
        <v>46</v>
      </c>
      <c r="E30" s="55">
        <v>0</v>
      </c>
      <c r="F30" s="56">
        <v>46</v>
      </c>
      <c r="G30" s="56">
        <v>2</v>
      </c>
      <c r="H30" s="56" t="s">
        <v>37</v>
      </c>
      <c r="I30" s="56"/>
      <c r="J30" s="151"/>
      <c r="K30" s="207"/>
    </row>
    <row r="31" spans="2:11" ht="21.6" customHeight="1" x14ac:dyDescent="0.3">
      <c r="B31" s="54">
        <v>30</v>
      </c>
      <c r="C31" s="55" t="s">
        <v>38</v>
      </c>
      <c r="D31" s="55">
        <v>18</v>
      </c>
      <c r="E31" s="55">
        <v>4</v>
      </c>
      <c r="F31" s="56">
        <v>22</v>
      </c>
      <c r="G31" s="56">
        <v>0</v>
      </c>
      <c r="H31" s="56" t="s">
        <v>35</v>
      </c>
      <c r="I31" s="56"/>
      <c r="J31" s="151"/>
      <c r="K31" s="207"/>
    </row>
    <row r="32" spans="2:11" ht="21.6" customHeight="1" x14ac:dyDescent="0.3">
      <c r="B32" s="54">
        <v>31</v>
      </c>
      <c r="C32" s="55" t="s">
        <v>39</v>
      </c>
      <c r="D32" s="55">
        <v>22</v>
      </c>
      <c r="E32" s="55">
        <v>0</v>
      </c>
      <c r="F32" s="56">
        <v>22</v>
      </c>
      <c r="G32" s="56">
        <v>1</v>
      </c>
      <c r="H32" s="56" t="s">
        <v>35</v>
      </c>
      <c r="I32" s="56"/>
      <c r="J32" s="151"/>
      <c r="K32" s="207"/>
    </row>
    <row r="33" spans="2:11" ht="21.6" customHeight="1" x14ac:dyDescent="0.3">
      <c r="B33" s="54">
        <v>32</v>
      </c>
      <c r="C33" s="55" t="s">
        <v>40</v>
      </c>
      <c r="D33" s="55">
        <v>24</v>
      </c>
      <c r="E33" s="55">
        <v>0</v>
      </c>
      <c r="F33" s="56">
        <v>24</v>
      </c>
      <c r="G33" s="56">
        <v>1</v>
      </c>
      <c r="H33" s="56" t="s">
        <v>35</v>
      </c>
      <c r="I33" s="56"/>
      <c r="J33" s="151"/>
      <c r="K33" s="207"/>
    </row>
    <row r="34" spans="2:11" ht="21.6" customHeight="1" x14ac:dyDescent="0.3">
      <c r="B34" s="54">
        <v>33</v>
      </c>
      <c r="C34" s="55" t="s">
        <v>41</v>
      </c>
      <c r="D34" s="55">
        <v>20</v>
      </c>
      <c r="E34" s="55">
        <v>0</v>
      </c>
      <c r="F34" s="56">
        <v>20</v>
      </c>
      <c r="G34" s="56">
        <v>1</v>
      </c>
      <c r="H34" s="56" t="s">
        <v>35</v>
      </c>
      <c r="I34" s="56"/>
      <c r="J34" s="134"/>
      <c r="K34" s="136"/>
    </row>
    <row r="35" spans="2:11" ht="21.6" customHeight="1" x14ac:dyDescent="0.3">
      <c r="B35" s="59">
        <v>34</v>
      </c>
      <c r="C35" s="60" t="s">
        <v>12</v>
      </c>
      <c r="D35" s="60">
        <v>25</v>
      </c>
      <c r="E35" s="60">
        <v>6</v>
      </c>
      <c r="F35" s="61">
        <v>31</v>
      </c>
      <c r="G35" s="61">
        <v>1</v>
      </c>
      <c r="H35" s="61" t="s">
        <v>13</v>
      </c>
      <c r="I35" s="61"/>
      <c r="J35" s="62">
        <v>46363</v>
      </c>
      <c r="K35" s="63">
        <f>F35+G35</f>
        <v>32</v>
      </c>
    </row>
    <row r="36" spans="2:11" ht="21.6" customHeight="1" x14ac:dyDescent="0.3">
      <c r="B36" s="64">
        <v>35</v>
      </c>
      <c r="C36" s="65" t="s">
        <v>44</v>
      </c>
      <c r="D36" s="65">
        <v>26</v>
      </c>
      <c r="E36" s="65">
        <v>2</v>
      </c>
      <c r="F36" s="66">
        <v>28</v>
      </c>
      <c r="G36" s="66">
        <v>0</v>
      </c>
      <c r="H36" s="66" t="s">
        <v>11</v>
      </c>
      <c r="I36" s="66"/>
      <c r="J36" s="113" t="s">
        <v>300</v>
      </c>
      <c r="K36" s="116">
        <f>SUM(F36:F68)+SUM(G36:G68)</f>
        <v>1016</v>
      </c>
    </row>
    <row r="37" spans="2:11" ht="21.6" customHeight="1" x14ac:dyDescent="0.3">
      <c r="B37" s="64">
        <v>36</v>
      </c>
      <c r="C37" s="65" t="s">
        <v>46</v>
      </c>
      <c r="D37" s="65">
        <v>35</v>
      </c>
      <c r="E37" s="65">
        <v>0</v>
      </c>
      <c r="F37" s="66">
        <v>35</v>
      </c>
      <c r="G37" s="66">
        <v>2</v>
      </c>
      <c r="H37" s="66" t="s">
        <v>11</v>
      </c>
      <c r="I37" s="66"/>
      <c r="J37" s="114"/>
      <c r="K37" s="117"/>
    </row>
    <row r="38" spans="2:11" ht="21.6" customHeight="1" x14ac:dyDescent="0.3">
      <c r="B38" s="64">
        <v>37</v>
      </c>
      <c r="C38" s="65" t="s">
        <v>47</v>
      </c>
      <c r="D38" s="65">
        <v>28</v>
      </c>
      <c r="E38" s="65">
        <v>2</v>
      </c>
      <c r="F38" s="66">
        <v>30</v>
      </c>
      <c r="G38" s="66">
        <v>2</v>
      </c>
      <c r="H38" s="66" t="s">
        <v>11</v>
      </c>
      <c r="I38" s="66"/>
      <c r="J38" s="114"/>
      <c r="K38" s="117"/>
    </row>
    <row r="39" spans="2:11" ht="21.6" customHeight="1" x14ac:dyDescent="0.3">
      <c r="B39" s="64">
        <v>38</v>
      </c>
      <c r="C39" s="65" t="s">
        <v>48</v>
      </c>
      <c r="D39" s="65">
        <v>39</v>
      </c>
      <c r="E39" s="65">
        <v>4</v>
      </c>
      <c r="F39" s="66">
        <v>43</v>
      </c>
      <c r="G39" s="66">
        <v>3</v>
      </c>
      <c r="H39" s="66" t="s">
        <v>13</v>
      </c>
      <c r="I39" s="66"/>
      <c r="J39" s="114"/>
      <c r="K39" s="117"/>
    </row>
    <row r="40" spans="2:11" ht="21.6" customHeight="1" x14ac:dyDescent="0.3">
      <c r="B40" s="64">
        <v>39</v>
      </c>
      <c r="C40" s="65" t="s">
        <v>49</v>
      </c>
      <c r="D40" s="65">
        <v>25</v>
      </c>
      <c r="E40" s="65">
        <v>5</v>
      </c>
      <c r="F40" s="66">
        <v>30</v>
      </c>
      <c r="G40" s="66">
        <v>0</v>
      </c>
      <c r="H40" s="66" t="s">
        <v>11</v>
      </c>
      <c r="I40" s="66"/>
      <c r="J40" s="114"/>
      <c r="K40" s="117"/>
    </row>
    <row r="41" spans="2:11" ht="21.6" customHeight="1" thickBot="1" x14ac:dyDescent="0.35">
      <c r="B41" s="64">
        <v>41</v>
      </c>
      <c r="C41" s="65" t="s">
        <v>50</v>
      </c>
      <c r="D41" s="65">
        <v>30</v>
      </c>
      <c r="E41" s="65">
        <v>5</v>
      </c>
      <c r="F41" s="66">
        <v>35</v>
      </c>
      <c r="G41" s="66">
        <v>0</v>
      </c>
      <c r="H41" s="66" t="s">
        <v>11</v>
      </c>
      <c r="I41" s="66"/>
      <c r="J41" s="114"/>
      <c r="K41" s="117"/>
    </row>
    <row r="42" spans="2:11" ht="21.6" customHeight="1" x14ac:dyDescent="0.3">
      <c r="B42" s="64">
        <v>43</v>
      </c>
      <c r="C42" s="65" t="s">
        <v>51</v>
      </c>
      <c r="D42" s="65">
        <v>27</v>
      </c>
      <c r="E42" s="65">
        <v>2</v>
      </c>
      <c r="F42" s="66">
        <v>29</v>
      </c>
      <c r="G42" s="66">
        <v>1</v>
      </c>
      <c r="H42" s="66" t="s">
        <v>11</v>
      </c>
      <c r="I42" s="66"/>
      <c r="J42" s="114"/>
      <c r="K42" s="117"/>
    </row>
    <row r="43" spans="2:11" ht="21.6" customHeight="1" x14ac:dyDescent="0.3">
      <c r="B43" s="64">
        <v>44</v>
      </c>
      <c r="C43" s="65" t="s">
        <v>52</v>
      </c>
      <c r="D43" s="65">
        <v>25</v>
      </c>
      <c r="E43" s="65">
        <v>4</v>
      </c>
      <c r="F43" s="66">
        <v>29</v>
      </c>
      <c r="G43" s="66">
        <v>0</v>
      </c>
      <c r="H43" s="66" t="s">
        <v>11</v>
      </c>
      <c r="I43" s="66"/>
      <c r="J43" s="114"/>
      <c r="K43" s="117"/>
    </row>
    <row r="44" spans="2:11" ht="21.6" customHeight="1" x14ac:dyDescent="0.3">
      <c r="B44" s="64">
        <v>45</v>
      </c>
      <c r="C44" s="65" t="s">
        <v>53</v>
      </c>
      <c r="D44" s="65">
        <v>26</v>
      </c>
      <c r="E44" s="65">
        <v>0</v>
      </c>
      <c r="F44" s="66">
        <v>26</v>
      </c>
      <c r="G44" s="66">
        <v>2</v>
      </c>
      <c r="H44" s="66" t="s">
        <v>11</v>
      </c>
      <c r="I44" s="66"/>
      <c r="J44" s="114"/>
      <c r="K44" s="117"/>
    </row>
    <row r="45" spans="2:11" ht="21.6" customHeight="1" x14ac:dyDescent="0.3">
      <c r="B45" s="64">
        <v>46</v>
      </c>
      <c r="C45" s="65" t="s">
        <v>54</v>
      </c>
      <c r="D45" s="65">
        <v>23</v>
      </c>
      <c r="E45" s="65">
        <v>8</v>
      </c>
      <c r="F45" s="66">
        <v>31</v>
      </c>
      <c r="G45" s="66">
        <v>2</v>
      </c>
      <c r="H45" s="66" t="s">
        <v>11</v>
      </c>
      <c r="I45" s="66"/>
      <c r="J45" s="114"/>
      <c r="K45" s="117"/>
    </row>
    <row r="46" spans="2:11" ht="21.6" customHeight="1" x14ac:dyDescent="0.3">
      <c r="B46" s="64">
        <v>47</v>
      </c>
      <c r="C46" s="65" t="s">
        <v>55</v>
      </c>
      <c r="D46" s="65">
        <v>25</v>
      </c>
      <c r="E46" s="65">
        <v>3</v>
      </c>
      <c r="F46" s="66">
        <v>28</v>
      </c>
      <c r="G46" s="66">
        <v>0</v>
      </c>
      <c r="H46" s="66" t="s">
        <v>11</v>
      </c>
      <c r="I46" s="66"/>
      <c r="J46" s="114"/>
      <c r="K46" s="117"/>
    </row>
    <row r="47" spans="2:11" ht="21.6" customHeight="1" x14ac:dyDescent="0.3">
      <c r="B47" s="64">
        <v>48</v>
      </c>
      <c r="C47" s="65" t="s">
        <v>56</v>
      </c>
      <c r="D47" s="65">
        <v>35</v>
      </c>
      <c r="E47" s="65">
        <v>3</v>
      </c>
      <c r="F47" s="66">
        <v>38</v>
      </c>
      <c r="G47" s="66">
        <v>2</v>
      </c>
      <c r="H47" s="66" t="s">
        <v>11</v>
      </c>
      <c r="I47" s="66"/>
      <c r="J47" s="114"/>
      <c r="K47" s="117"/>
    </row>
    <row r="48" spans="2:11" ht="21.6" customHeight="1" thickBot="1" x14ac:dyDescent="0.35">
      <c r="B48" s="64">
        <v>49</v>
      </c>
      <c r="C48" s="65" t="s">
        <v>57</v>
      </c>
      <c r="D48" s="65">
        <v>15</v>
      </c>
      <c r="E48" s="65">
        <v>3</v>
      </c>
      <c r="F48" s="66">
        <v>18</v>
      </c>
      <c r="G48" s="66">
        <v>1</v>
      </c>
      <c r="H48" s="66" t="s">
        <v>11</v>
      </c>
      <c r="I48" s="66"/>
      <c r="J48" s="114"/>
      <c r="K48" s="117"/>
    </row>
    <row r="49" spans="2:11" ht="21" customHeight="1" x14ac:dyDescent="0.3">
      <c r="B49" s="64">
        <v>50</v>
      </c>
      <c r="C49" s="65" t="s">
        <v>58</v>
      </c>
      <c r="D49" s="65">
        <v>39</v>
      </c>
      <c r="E49" s="65">
        <v>4</v>
      </c>
      <c r="F49" s="66">
        <v>43</v>
      </c>
      <c r="G49" s="66">
        <v>0</v>
      </c>
      <c r="H49" s="66" t="s">
        <v>11</v>
      </c>
      <c r="I49" s="66"/>
      <c r="J49" s="114"/>
      <c r="K49" s="117"/>
    </row>
    <row r="50" spans="2:11" ht="21" customHeight="1" x14ac:dyDescent="0.3">
      <c r="B50" s="64">
        <v>51</v>
      </c>
      <c r="C50" s="65" t="s">
        <v>59</v>
      </c>
      <c r="D50" s="65">
        <v>23</v>
      </c>
      <c r="E50" s="65">
        <v>1</v>
      </c>
      <c r="F50" s="66">
        <v>24</v>
      </c>
      <c r="G50" s="66">
        <v>1</v>
      </c>
      <c r="H50" s="66" t="s">
        <v>11</v>
      </c>
      <c r="I50" s="66"/>
      <c r="J50" s="114"/>
      <c r="K50" s="117"/>
    </row>
    <row r="51" spans="2:11" ht="21" customHeight="1" x14ac:dyDescent="0.3">
      <c r="B51" s="64">
        <v>52</v>
      </c>
      <c r="C51" s="65" t="s">
        <v>60</v>
      </c>
      <c r="D51" s="65">
        <v>23</v>
      </c>
      <c r="E51" s="65">
        <v>3</v>
      </c>
      <c r="F51" s="66">
        <v>26</v>
      </c>
      <c r="G51" s="66">
        <v>1</v>
      </c>
      <c r="H51" s="66" t="s">
        <v>11</v>
      </c>
      <c r="I51" s="66"/>
      <c r="J51" s="114"/>
      <c r="K51" s="117"/>
    </row>
    <row r="52" spans="2:11" ht="21" customHeight="1" x14ac:dyDescent="0.3">
      <c r="B52" s="64">
        <v>53</v>
      </c>
      <c r="C52" s="65" t="s">
        <v>61</v>
      </c>
      <c r="D52" s="65">
        <v>28</v>
      </c>
      <c r="E52" s="65">
        <v>2</v>
      </c>
      <c r="F52" s="66">
        <v>30</v>
      </c>
      <c r="G52" s="66">
        <v>2</v>
      </c>
      <c r="H52" s="66" t="s">
        <v>11</v>
      </c>
      <c r="I52" s="66"/>
      <c r="J52" s="114"/>
      <c r="K52" s="117"/>
    </row>
    <row r="53" spans="2:11" ht="21" customHeight="1" thickBot="1" x14ac:dyDescent="0.35">
      <c r="B53" s="64">
        <v>54</v>
      </c>
      <c r="C53" s="65" t="s">
        <v>62</v>
      </c>
      <c r="D53" s="65">
        <v>10</v>
      </c>
      <c r="E53" s="65">
        <v>1</v>
      </c>
      <c r="F53" s="66">
        <v>11</v>
      </c>
      <c r="G53" s="66">
        <v>1</v>
      </c>
      <c r="H53" s="66" t="s">
        <v>11</v>
      </c>
      <c r="I53" s="66"/>
      <c r="J53" s="114"/>
      <c r="K53" s="117"/>
    </row>
    <row r="54" spans="2:11" ht="21" customHeight="1" x14ac:dyDescent="0.3">
      <c r="B54" s="64">
        <v>56</v>
      </c>
      <c r="C54" s="65" t="s">
        <v>63</v>
      </c>
      <c r="D54" s="65">
        <v>21</v>
      </c>
      <c r="E54" s="65">
        <v>0</v>
      </c>
      <c r="F54" s="66">
        <v>21</v>
      </c>
      <c r="G54" s="66">
        <v>1</v>
      </c>
      <c r="H54" s="66" t="s">
        <v>11</v>
      </c>
      <c r="I54" s="66"/>
      <c r="J54" s="114"/>
      <c r="K54" s="117"/>
    </row>
    <row r="55" spans="2:11" ht="21" customHeight="1" x14ac:dyDescent="0.3">
      <c r="B55" s="64">
        <v>57</v>
      </c>
      <c r="C55" s="65" t="s">
        <v>64</v>
      </c>
      <c r="D55" s="65">
        <v>27</v>
      </c>
      <c r="E55" s="65">
        <v>3</v>
      </c>
      <c r="F55" s="66">
        <v>30</v>
      </c>
      <c r="G55" s="66">
        <v>2</v>
      </c>
      <c r="H55" s="66" t="s">
        <v>23</v>
      </c>
      <c r="I55" s="66"/>
      <c r="J55" s="114"/>
      <c r="K55" s="117"/>
    </row>
    <row r="56" spans="2:11" ht="21" customHeight="1" x14ac:dyDescent="0.3">
      <c r="B56" s="64">
        <v>58</v>
      </c>
      <c r="C56" s="65" t="s">
        <v>65</v>
      </c>
      <c r="D56" s="65">
        <v>35</v>
      </c>
      <c r="E56" s="65">
        <v>4</v>
      </c>
      <c r="F56" s="66">
        <v>39</v>
      </c>
      <c r="G56" s="66">
        <v>2</v>
      </c>
      <c r="H56" s="66" t="s">
        <v>23</v>
      </c>
      <c r="I56" s="66"/>
      <c r="J56" s="114"/>
      <c r="K56" s="117"/>
    </row>
    <row r="57" spans="2:11" ht="21" customHeight="1" x14ac:dyDescent="0.3">
      <c r="B57" s="64">
        <v>59</v>
      </c>
      <c r="C57" s="65" t="s">
        <v>66</v>
      </c>
      <c r="D57" s="65">
        <v>35</v>
      </c>
      <c r="E57" s="65">
        <v>2</v>
      </c>
      <c r="F57" s="66">
        <v>37</v>
      </c>
      <c r="G57" s="66">
        <v>0</v>
      </c>
      <c r="H57" s="66" t="s">
        <v>35</v>
      </c>
      <c r="I57" s="66"/>
      <c r="J57" s="114"/>
      <c r="K57" s="117"/>
    </row>
    <row r="58" spans="2:11" ht="21" customHeight="1" x14ac:dyDescent="0.3">
      <c r="B58" s="64">
        <v>60</v>
      </c>
      <c r="C58" s="65" t="s">
        <v>67</v>
      </c>
      <c r="D58" s="65">
        <v>30</v>
      </c>
      <c r="E58" s="65">
        <v>4</v>
      </c>
      <c r="F58" s="66">
        <v>34</v>
      </c>
      <c r="G58" s="66">
        <v>2</v>
      </c>
      <c r="H58" s="66" t="s">
        <v>23</v>
      </c>
      <c r="I58" s="66"/>
      <c r="J58" s="114"/>
      <c r="K58" s="117"/>
    </row>
    <row r="59" spans="2:11" ht="21" customHeight="1" x14ac:dyDescent="0.3">
      <c r="B59" s="64">
        <v>61</v>
      </c>
      <c r="C59" s="65" t="s">
        <v>68</v>
      </c>
      <c r="D59" s="65">
        <v>26</v>
      </c>
      <c r="E59" s="65">
        <v>4</v>
      </c>
      <c r="F59" s="66">
        <v>30</v>
      </c>
      <c r="G59" s="66">
        <v>1</v>
      </c>
      <c r="H59" s="66" t="s">
        <v>35</v>
      </c>
      <c r="I59" s="66"/>
      <c r="J59" s="114"/>
      <c r="K59" s="117"/>
    </row>
    <row r="60" spans="2:11" ht="21" customHeight="1" x14ac:dyDescent="0.3">
      <c r="B60" s="64">
        <v>62</v>
      </c>
      <c r="C60" s="65" t="s">
        <v>69</v>
      </c>
      <c r="D60" s="65">
        <v>28</v>
      </c>
      <c r="E60" s="65">
        <v>0</v>
      </c>
      <c r="F60" s="66">
        <v>28</v>
      </c>
      <c r="G60" s="66">
        <v>2</v>
      </c>
      <c r="H60" s="66" t="s">
        <v>35</v>
      </c>
      <c r="I60" s="66"/>
      <c r="J60" s="114"/>
      <c r="K60" s="117"/>
    </row>
    <row r="61" spans="2:11" ht="21" customHeight="1" thickBot="1" x14ac:dyDescent="0.35">
      <c r="B61" s="64">
        <v>63</v>
      </c>
      <c r="C61" s="65" t="s">
        <v>70</v>
      </c>
      <c r="D61" s="65">
        <v>26</v>
      </c>
      <c r="E61" s="65">
        <v>3</v>
      </c>
      <c r="F61" s="66">
        <v>29</v>
      </c>
      <c r="G61" s="66">
        <v>2</v>
      </c>
      <c r="H61" s="66" t="s">
        <v>35</v>
      </c>
      <c r="I61" s="66"/>
      <c r="J61" s="114"/>
      <c r="K61" s="117"/>
    </row>
    <row r="62" spans="2:11" ht="21" customHeight="1" x14ac:dyDescent="0.3">
      <c r="B62" s="64">
        <v>64</v>
      </c>
      <c r="C62" s="65" t="s">
        <v>71</v>
      </c>
      <c r="D62" s="65">
        <v>22</v>
      </c>
      <c r="E62" s="65">
        <v>1</v>
      </c>
      <c r="F62" s="66">
        <v>23</v>
      </c>
      <c r="G62" s="66">
        <v>1</v>
      </c>
      <c r="H62" s="66" t="s">
        <v>23</v>
      </c>
      <c r="I62" s="66"/>
      <c r="J62" s="114"/>
      <c r="K62" s="117"/>
    </row>
    <row r="63" spans="2:11" ht="21" customHeight="1" x14ac:dyDescent="0.3">
      <c r="B63" s="64">
        <v>65</v>
      </c>
      <c r="C63" s="65" t="s">
        <v>72</v>
      </c>
      <c r="D63" s="65">
        <v>26</v>
      </c>
      <c r="E63" s="65">
        <v>2</v>
      </c>
      <c r="F63" s="66">
        <v>28</v>
      </c>
      <c r="G63" s="66">
        <v>1</v>
      </c>
      <c r="H63" s="66" t="s">
        <v>23</v>
      </c>
      <c r="I63" s="66"/>
      <c r="J63" s="114"/>
      <c r="K63" s="117"/>
    </row>
    <row r="64" spans="2:11" ht="21" customHeight="1" x14ac:dyDescent="0.3">
      <c r="B64" s="64">
        <v>66</v>
      </c>
      <c r="C64" s="65" t="s">
        <v>73</v>
      </c>
      <c r="D64" s="65">
        <v>32</v>
      </c>
      <c r="E64" s="65">
        <v>4</v>
      </c>
      <c r="F64" s="66">
        <v>36</v>
      </c>
      <c r="G64" s="66">
        <v>2</v>
      </c>
      <c r="H64" s="66" t="s">
        <v>23</v>
      </c>
      <c r="I64" s="66"/>
      <c r="J64" s="114"/>
      <c r="K64" s="117"/>
    </row>
    <row r="65" spans="2:11" ht="21" customHeight="1" x14ac:dyDescent="0.3">
      <c r="B65" s="64">
        <v>67</v>
      </c>
      <c r="C65" s="65" t="s">
        <v>74</v>
      </c>
      <c r="D65" s="65">
        <v>19</v>
      </c>
      <c r="E65" s="65">
        <v>3</v>
      </c>
      <c r="F65" s="66">
        <v>22</v>
      </c>
      <c r="G65" s="66">
        <v>0</v>
      </c>
      <c r="H65" s="66" t="s">
        <v>23</v>
      </c>
      <c r="I65" s="66"/>
      <c r="J65" s="114"/>
      <c r="K65" s="117"/>
    </row>
    <row r="66" spans="2:11" ht="21" customHeight="1" x14ac:dyDescent="0.3">
      <c r="B66" s="64">
        <v>68</v>
      </c>
      <c r="C66" s="65" t="s">
        <v>75</v>
      </c>
      <c r="D66" s="65">
        <v>26</v>
      </c>
      <c r="E66" s="65">
        <v>4</v>
      </c>
      <c r="F66" s="66">
        <v>30</v>
      </c>
      <c r="G66" s="66">
        <v>0</v>
      </c>
      <c r="H66" s="66" t="s">
        <v>13</v>
      </c>
      <c r="I66" s="66"/>
      <c r="J66" s="114"/>
      <c r="K66" s="117"/>
    </row>
    <row r="67" spans="2:11" ht="21" customHeight="1" x14ac:dyDescent="0.3">
      <c r="B67" s="64">
        <v>69</v>
      </c>
      <c r="C67" s="65" t="s">
        <v>76</v>
      </c>
      <c r="D67" s="65">
        <v>27</v>
      </c>
      <c r="E67" s="65">
        <v>1</v>
      </c>
      <c r="F67" s="66">
        <v>28</v>
      </c>
      <c r="G67" s="66">
        <v>2</v>
      </c>
      <c r="H67" s="66" t="s">
        <v>35</v>
      </c>
      <c r="I67" s="66"/>
      <c r="J67" s="114"/>
      <c r="K67" s="117"/>
    </row>
    <row r="68" spans="2:11" ht="21" customHeight="1" x14ac:dyDescent="0.3">
      <c r="B68" s="64">
        <v>82</v>
      </c>
      <c r="C68" s="65" t="s">
        <v>77</v>
      </c>
      <c r="D68" s="65">
        <v>26</v>
      </c>
      <c r="E68" s="65">
        <v>3</v>
      </c>
      <c r="F68" s="66">
        <v>29</v>
      </c>
      <c r="G68" s="66">
        <v>0</v>
      </c>
      <c r="H68" s="66" t="s">
        <v>11</v>
      </c>
      <c r="I68" s="66"/>
      <c r="J68" s="115"/>
      <c r="K68" s="118"/>
    </row>
    <row r="69" spans="2:11" ht="21" customHeight="1" x14ac:dyDescent="0.3">
      <c r="B69" s="39">
        <v>40</v>
      </c>
      <c r="C69" s="40" t="s">
        <v>42</v>
      </c>
      <c r="D69" s="40">
        <v>34</v>
      </c>
      <c r="E69" s="40">
        <v>3</v>
      </c>
      <c r="F69" s="41">
        <v>37</v>
      </c>
      <c r="G69" s="41">
        <v>1</v>
      </c>
      <c r="H69" s="41" t="s">
        <v>23</v>
      </c>
      <c r="I69" s="41"/>
      <c r="J69" s="205">
        <v>46368</v>
      </c>
      <c r="K69" s="202">
        <f>SUM(F69:F70)+SUM(G69:G70)</f>
        <v>71</v>
      </c>
    </row>
    <row r="70" spans="2:11" ht="21" customHeight="1" thickBot="1" x14ac:dyDescent="0.35">
      <c r="B70" s="39">
        <v>42</v>
      </c>
      <c r="C70" s="40" t="s">
        <v>43</v>
      </c>
      <c r="D70" s="40">
        <v>29</v>
      </c>
      <c r="E70" s="40">
        <v>3</v>
      </c>
      <c r="F70" s="41">
        <v>32</v>
      </c>
      <c r="G70" s="41">
        <v>1</v>
      </c>
      <c r="H70" s="41" t="s">
        <v>23</v>
      </c>
      <c r="I70" s="41"/>
      <c r="J70" s="206"/>
      <c r="K70" s="204"/>
    </row>
    <row r="71" spans="2:11" ht="22.95" customHeight="1" thickBot="1" x14ac:dyDescent="0.35">
      <c r="B71" s="44">
        <v>19</v>
      </c>
      <c r="C71" s="45" t="s">
        <v>78</v>
      </c>
      <c r="D71" s="45">
        <v>33</v>
      </c>
      <c r="E71" s="45">
        <v>0</v>
      </c>
      <c r="F71" s="46">
        <v>33</v>
      </c>
      <c r="G71" s="46">
        <v>0</v>
      </c>
      <c r="H71" s="46" t="s">
        <v>11</v>
      </c>
      <c r="I71" s="46"/>
      <c r="J71" s="197" t="s">
        <v>301</v>
      </c>
      <c r="K71" s="199">
        <f>SUM(F71:F98)+SUM(G71:G98)</f>
        <v>894</v>
      </c>
    </row>
    <row r="72" spans="2:11" ht="19.2" customHeight="1" x14ac:dyDescent="0.3">
      <c r="B72" s="44">
        <v>55</v>
      </c>
      <c r="C72" s="45" t="s">
        <v>80</v>
      </c>
      <c r="D72" s="45">
        <v>26</v>
      </c>
      <c r="E72" s="45">
        <v>3</v>
      </c>
      <c r="F72" s="46">
        <v>29</v>
      </c>
      <c r="G72" s="46">
        <v>2</v>
      </c>
      <c r="H72" s="46" t="s">
        <v>13</v>
      </c>
      <c r="I72" s="46"/>
      <c r="J72" s="167"/>
      <c r="K72" s="200"/>
    </row>
    <row r="73" spans="2:11" ht="19.2" customHeight="1" x14ac:dyDescent="0.3">
      <c r="B73" s="44">
        <v>70</v>
      </c>
      <c r="C73" s="45" t="s">
        <v>81</v>
      </c>
      <c r="D73" s="45">
        <v>27</v>
      </c>
      <c r="E73" s="45">
        <v>3</v>
      </c>
      <c r="F73" s="46">
        <v>30</v>
      </c>
      <c r="G73" s="46">
        <v>2</v>
      </c>
      <c r="H73" s="46" t="s">
        <v>11</v>
      </c>
      <c r="I73" s="46"/>
      <c r="J73" s="167"/>
      <c r="K73" s="200"/>
    </row>
    <row r="74" spans="2:11" ht="26.4" x14ac:dyDescent="0.3">
      <c r="B74" s="44">
        <v>71</v>
      </c>
      <c r="C74" s="45" t="s">
        <v>82</v>
      </c>
      <c r="D74" s="45">
        <v>26</v>
      </c>
      <c r="E74" s="45">
        <v>8</v>
      </c>
      <c r="F74" s="46">
        <v>34</v>
      </c>
      <c r="G74" s="46">
        <v>1</v>
      </c>
      <c r="H74" s="46" t="s">
        <v>11</v>
      </c>
      <c r="I74" s="46"/>
      <c r="J74" s="167"/>
      <c r="K74" s="200"/>
    </row>
    <row r="75" spans="2:11" x14ac:dyDescent="0.3">
      <c r="B75" s="44">
        <v>72</v>
      </c>
      <c r="C75" s="45" t="s">
        <v>83</v>
      </c>
      <c r="D75" s="45">
        <v>15</v>
      </c>
      <c r="E75" s="45">
        <v>1</v>
      </c>
      <c r="F75" s="46">
        <v>16</v>
      </c>
      <c r="G75" s="46">
        <v>1</v>
      </c>
      <c r="H75" s="46" t="s">
        <v>13</v>
      </c>
      <c r="I75" s="46"/>
      <c r="J75" s="167"/>
      <c r="K75" s="200"/>
    </row>
    <row r="76" spans="2:11" ht="26.4" x14ac:dyDescent="0.3">
      <c r="B76" s="44">
        <v>73</v>
      </c>
      <c r="C76" s="45" t="s">
        <v>84</v>
      </c>
      <c r="D76" s="45">
        <v>36</v>
      </c>
      <c r="E76" s="45">
        <v>0</v>
      </c>
      <c r="F76" s="46">
        <v>36</v>
      </c>
      <c r="G76" s="46">
        <v>2</v>
      </c>
      <c r="H76" s="46" t="s">
        <v>11</v>
      </c>
      <c r="I76" s="46"/>
      <c r="J76" s="167"/>
      <c r="K76" s="200"/>
    </row>
    <row r="77" spans="2:11" ht="26.4" x14ac:dyDescent="0.3">
      <c r="B77" s="44">
        <v>74</v>
      </c>
      <c r="C77" s="45" t="s">
        <v>85</v>
      </c>
      <c r="D77" s="45">
        <v>19</v>
      </c>
      <c r="E77" s="45">
        <v>3</v>
      </c>
      <c r="F77" s="46">
        <v>22</v>
      </c>
      <c r="G77" s="46">
        <v>0</v>
      </c>
      <c r="H77" s="46" t="s">
        <v>11</v>
      </c>
      <c r="I77" s="46"/>
      <c r="J77" s="167"/>
      <c r="K77" s="200"/>
    </row>
    <row r="78" spans="2:11" ht="26.4" x14ac:dyDescent="0.3">
      <c r="B78" s="44">
        <v>75</v>
      </c>
      <c r="C78" s="45" t="s">
        <v>86</v>
      </c>
      <c r="D78" s="45">
        <v>37</v>
      </c>
      <c r="E78" s="45">
        <v>9</v>
      </c>
      <c r="F78" s="46">
        <v>46</v>
      </c>
      <c r="G78" s="46">
        <v>0</v>
      </c>
      <c r="H78" s="46" t="s">
        <v>11</v>
      </c>
      <c r="I78" s="46"/>
      <c r="J78" s="167"/>
      <c r="K78" s="200"/>
    </row>
    <row r="79" spans="2:11" ht="26.4" x14ac:dyDescent="0.3">
      <c r="B79" s="44">
        <v>76</v>
      </c>
      <c r="C79" s="45" t="s">
        <v>87</v>
      </c>
      <c r="D79" s="45">
        <v>30</v>
      </c>
      <c r="E79" s="45">
        <v>6</v>
      </c>
      <c r="F79" s="46">
        <v>36</v>
      </c>
      <c r="G79" s="46">
        <v>2</v>
      </c>
      <c r="H79" s="46" t="s">
        <v>11</v>
      </c>
      <c r="I79" s="46"/>
      <c r="J79" s="167"/>
      <c r="K79" s="200"/>
    </row>
    <row r="80" spans="2:11" ht="26.4" x14ac:dyDescent="0.3">
      <c r="B80" s="44">
        <v>77</v>
      </c>
      <c r="C80" s="45" t="s">
        <v>88</v>
      </c>
      <c r="D80" s="45">
        <v>26</v>
      </c>
      <c r="E80" s="45">
        <v>10</v>
      </c>
      <c r="F80" s="46">
        <v>36</v>
      </c>
      <c r="G80" s="46">
        <v>2</v>
      </c>
      <c r="H80" s="46" t="s">
        <v>11</v>
      </c>
      <c r="I80" s="46"/>
      <c r="J80" s="167"/>
      <c r="K80" s="200"/>
    </row>
    <row r="81" spans="2:11" ht="26.4" x14ac:dyDescent="0.3">
      <c r="B81" s="44">
        <v>78</v>
      </c>
      <c r="C81" s="45" t="s">
        <v>89</v>
      </c>
      <c r="D81" s="45">
        <v>37</v>
      </c>
      <c r="E81" s="45">
        <v>7</v>
      </c>
      <c r="F81" s="46">
        <v>44</v>
      </c>
      <c r="G81" s="46">
        <v>0</v>
      </c>
      <c r="H81" s="46" t="s">
        <v>11</v>
      </c>
      <c r="I81" s="46"/>
      <c r="J81" s="167"/>
      <c r="K81" s="200"/>
    </row>
    <row r="82" spans="2:11" ht="26.4" x14ac:dyDescent="0.3">
      <c r="B82" s="44">
        <v>79</v>
      </c>
      <c r="C82" s="45" t="s">
        <v>90</v>
      </c>
      <c r="D82" s="45">
        <v>36</v>
      </c>
      <c r="E82" s="45">
        <v>6</v>
      </c>
      <c r="F82" s="46">
        <v>42</v>
      </c>
      <c r="G82" s="46">
        <v>3</v>
      </c>
      <c r="H82" s="46" t="s">
        <v>11</v>
      </c>
      <c r="I82" s="46"/>
      <c r="J82" s="167"/>
      <c r="K82" s="200"/>
    </row>
    <row r="83" spans="2:11" ht="26.4" x14ac:dyDescent="0.3">
      <c r="B83" s="44">
        <v>80</v>
      </c>
      <c r="C83" s="45" t="s">
        <v>91</v>
      </c>
      <c r="D83" s="45">
        <v>32</v>
      </c>
      <c r="E83" s="45">
        <v>0</v>
      </c>
      <c r="F83" s="46">
        <v>32</v>
      </c>
      <c r="G83" s="46">
        <v>2</v>
      </c>
      <c r="H83" s="46" t="s">
        <v>11</v>
      </c>
      <c r="I83" s="46"/>
      <c r="J83" s="167"/>
      <c r="K83" s="200"/>
    </row>
    <row r="84" spans="2:11" ht="26.4" x14ac:dyDescent="0.3">
      <c r="B84" s="44">
        <v>81</v>
      </c>
      <c r="C84" s="45" t="s">
        <v>92</v>
      </c>
      <c r="D84" s="45">
        <v>29</v>
      </c>
      <c r="E84" s="45">
        <v>2</v>
      </c>
      <c r="F84" s="46">
        <v>31</v>
      </c>
      <c r="G84" s="46">
        <v>2</v>
      </c>
      <c r="H84" s="46" t="s">
        <v>11</v>
      </c>
      <c r="I84" s="46"/>
      <c r="J84" s="167"/>
      <c r="K84" s="200"/>
    </row>
    <row r="85" spans="2:11" ht="26.4" x14ac:dyDescent="0.3">
      <c r="B85" s="44">
        <v>83</v>
      </c>
      <c r="C85" s="45" t="s">
        <v>93</v>
      </c>
      <c r="D85" s="45">
        <v>25</v>
      </c>
      <c r="E85" s="45">
        <v>6</v>
      </c>
      <c r="F85" s="46">
        <v>31</v>
      </c>
      <c r="G85" s="46">
        <v>2</v>
      </c>
      <c r="H85" s="46" t="s">
        <v>11</v>
      </c>
      <c r="I85" s="46"/>
      <c r="J85" s="167"/>
      <c r="K85" s="200"/>
    </row>
    <row r="86" spans="2:11" ht="26.4" x14ac:dyDescent="0.3">
      <c r="B86" s="44">
        <v>84</v>
      </c>
      <c r="C86" s="45" t="s">
        <v>94</v>
      </c>
      <c r="D86" s="45">
        <v>21</v>
      </c>
      <c r="E86" s="45">
        <v>8</v>
      </c>
      <c r="F86" s="46">
        <v>29</v>
      </c>
      <c r="G86" s="46">
        <v>1</v>
      </c>
      <c r="H86" s="46" t="s">
        <v>23</v>
      </c>
      <c r="I86" s="46"/>
      <c r="J86" s="167"/>
      <c r="K86" s="200"/>
    </row>
    <row r="87" spans="2:11" ht="26.4" x14ac:dyDescent="0.3">
      <c r="B87" s="44">
        <v>85</v>
      </c>
      <c r="C87" s="45" t="s">
        <v>95</v>
      </c>
      <c r="D87" s="45">
        <v>27</v>
      </c>
      <c r="E87" s="45">
        <v>2</v>
      </c>
      <c r="F87" s="46">
        <v>29</v>
      </c>
      <c r="G87" s="46">
        <v>1</v>
      </c>
      <c r="H87" s="46" t="s">
        <v>23</v>
      </c>
      <c r="I87" s="46"/>
      <c r="J87" s="167"/>
      <c r="K87" s="200"/>
    </row>
    <row r="88" spans="2:11" x14ac:dyDescent="0.3">
      <c r="B88" s="44">
        <v>86</v>
      </c>
      <c r="C88" s="45" t="s">
        <v>96</v>
      </c>
      <c r="D88" s="45">
        <v>20</v>
      </c>
      <c r="E88" s="45">
        <v>1</v>
      </c>
      <c r="F88" s="46">
        <v>21</v>
      </c>
      <c r="G88" s="46">
        <v>1</v>
      </c>
      <c r="H88" s="46" t="s">
        <v>23</v>
      </c>
      <c r="I88" s="46"/>
      <c r="J88" s="167"/>
      <c r="K88" s="200"/>
    </row>
    <row r="89" spans="2:11" ht="26.4" x14ac:dyDescent="0.3">
      <c r="B89" s="44">
        <v>87</v>
      </c>
      <c r="C89" s="45" t="s">
        <v>97</v>
      </c>
      <c r="D89" s="45">
        <v>65</v>
      </c>
      <c r="E89" s="45">
        <v>5</v>
      </c>
      <c r="F89" s="46">
        <v>70</v>
      </c>
      <c r="G89" s="46">
        <v>3</v>
      </c>
      <c r="H89" s="46" t="s">
        <v>35</v>
      </c>
      <c r="I89" s="46"/>
      <c r="J89" s="167"/>
      <c r="K89" s="200"/>
    </row>
    <row r="90" spans="2:11" x14ac:dyDescent="0.3">
      <c r="B90" s="44">
        <v>88</v>
      </c>
      <c r="C90" s="45" t="s">
        <v>98</v>
      </c>
      <c r="D90" s="45">
        <v>21</v>
      </c>
      <c r="E90" s="45">
        <v>2</v>
      </c>
      <c r="F90" s="46">
        <v>23</v>
      </c>
      <c r="G90" s="46">
        <v>1</v>
      </c>
      <c r="H90" s="46" t="s">
        <v>23</v>
      </c>
      <c r="I90" s="46"/>
      <c r="J90" s="167"/>
      <c r="K90" s="200"/>
    </row>
    <row r="91" spans="2:11" ht="26.4" x14ac:dyDescent="0.3">
      <c r="B91" s="44">
        <v>89</v>
      </c>
      <c r="C91" s="45" t="s">
        <v>99</v>
      </c>
      <c r="D91" s="45">
        <v>16</v>
      </c>
      <c r="E91" s="45">
        <v>1</v>
      </c>
      <c r="F91" s="46">
        <v>17</v>
      </c>
      <c r="G91" s="46">
        <v>0</v>
      </c>
      <c r="H91" s="46" t="s">
        <v>23</v>
      </c>
      <c r="I91" s="46"/>
      <c r="J91" s="167"/>
      <c r="K91" s="200"/>
    </row>
    <row r="92" spans="2:11" x14ac:dyDescent="0.3">
      <c r="B92" s="44">
        <v>90</v>
      </c>
      <c r="C92" s="45" t="s">
        <v>100</v>
      </c>
      <c r="D92" s="45">
        <v>33</v>
      </c>
      <c r="E92" s="45">
        <v>3</v>
      </c>
      <c r="F92" s="46">
        <v>36</v>
      </c>
      <c r="G92" s="46">
        <v>0</v>
      </c>
      <c r="H92" s="46" t="s">
        <v>23</v>
      </c>
      <c r="I92" s="46"/>
      <c r="J92" s="167"/>
      <c r="K92" s="200"/>
    </row>
    <row r="93" spans="2:11" ht="26.4" x14ac:dyDescent="0.3">
      <c r="B93" s="44">
        <v>91</v>
      </c>
      <c r="C93" s="45" t="s">
        <v>101</v>
      </c>
      <c r="D93" s="45">
        <v>28</v>
      </c>
      <c r="E93" s="45">
        <v>3</v>
      </c>
      <c r="F93" s="46">
        <v>31</v>
      </c>
      <c r="G93" s="46">
        <v>0</v>
      </c>
      <c r="H93" s="46" t="s">
        <v>23</v>
      </c>
      <c r="I93" s="46"/>
      <c r="J93" s="167"/>
      <c r="K93" s="200"/>
    </row>
    <row r="94" spans="2:11" x14ac:dyDescent="0.3">
      <c r="B94" s="44">
        <v>92</v>
      </c>
      <c r="C94" s="45" t="s">
        <v>102</v>
      </c>
      <c r="D94" s="45">
        <v>12</v>
      </c>
      <c r="E94" s="45">
        <v>2</v>
      </c>
      <c r="F94" s="46">
        <v>14</v>
      </c>
      <c r="G94" s="46">
        <v>1</v>
      </c>
      <c r="H94" s="46" t="s">
        <v>35</v>
      </c>
      <c r="I94" s="46"/>
      <c r="J94" s="167"/>
      <c r="K94" s="200"/>
    </row>
    <row r="95" spans="2:11" x14ac:dyDescent="0.3">
      <c r="B95" s="44">
        <v>93</v>
      </c>
      <c r="C95" s="45" t="s">
        <v>103</v>
      </c>
      <c r="D95" s="45">
        <v>21</v>
      </c>
      <c r="E95" s="45">
        <v>3</v>
      </c>
      <c r="F95" s="46">
        <v>24</v>
      </c>
      <c r="G95" s="46">
        <v>1</v>
      </c>
      <c r="H95" s="46" t="s">
        <v>35</v>
      </c>
      <c r="I95" s="46"/>
      <c r="J95" s="167"/>
      <c r="K95" s="200"/>
    </row>
    <row r="96" spans="2:11" x14ac:dyDescent="0.3">
      <c r="B96" s="44">
        <v>94</v>
      </c>
      <c r="C96" s="45" t="s">
        <v>104</v>
      </c>
      <c r="D96" s="45">
        <v>3</v>
      </c>
      <c r="E96" s="45"/>
      <c r="F96" s="46">
        <v>3</v>
      </c>
      <c r="G96" s="46">
        <v>1</v>
      </c>
      <c r="H96" s="46" t="s">
        <v>105</v>
      </c>
      <c r="I96" s="46"/>
      <c r="J96" s="167"/>
      <c r="K96" s="200"/>
    </row>
    <row r="97" spans="2:11" ht="26.4" x14ac:dyDescent="0.3">
      <c r="B97" s="44">
        <v>95</v>
      </c>
      <c r="C97" s="45" t="s">
        <v>106</v>
      </c>
      <c r="D97" s="45">
        <v>28</v>
      </c>
      <c r="E97" s="45">
        <v>0</v>
      </c>
      <c r="F97" s="46">
        <v>28</v>
      </c>
      <c r="G97" s="46">
        <v>2</v>
      </c>
      <c r="H97" s="46" t="s">
        <v>11</v>
      </c>
      <c r="I97" s="46"/>
      <c r="J97" s="167"/>
      <c r="K97" s="200"/>
    </row>
    <row r="98" spans="2:11" ht="26.4" x14ac:dyDescent="0.3">
      <c r="B98" s="44">
        <v>96</v>
      </c>
      <c r="C98" s="45" t="s">
        <v>107</v>
      </c>
      <c r="D98" s="45">
        <v>36</v>
      </c>
      <c r="E98" s="45">
        <v>0</v>
      </c>
      <c r="F98" s="46">
        <v>36</v>
      </c>
      <c r="G98" s="46">
        <v>2</v>
      </c>
      <c r="H98" s="46" t="s">
        <v>11</v>
      </c>
      <c r="I98" s="46"/>
      <c r="J98" s="198"/>
      <c r="K98" s="201"/>
    </row>
    <row r="99" spans="2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2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2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2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2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2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2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2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2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2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2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2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2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2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2">
    <mergeCell ref="B2:C2"/>
    <mergeCell ref="B1:K1"/>
    <mergeCell ref="J71:J98"/>
    <mergeCell ref="K36:K68"/>
    <mergeCell ref="J11:J34"/>
    <mergeCell ref="J5:J10"/>
    <mergeCell ref="K71:K98"/>
    <mergeCell ref="J69:J70"/>
    <mergeCell ref="K11:K34"/>
    <mergeCell ref="K69:K70"/>
    <mergeCell ref="K5:K10"/>
    <mergeCell ref="J36:J68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K860"/>
  <sheetViews>
    <sheetView workbookViewId="0"/>
  </sheetViews>
  <sheetFormatPr defaultRowHeight="14.4" x14ac:dyDescent="0.3"/>
  <cols>
    <col min="1" max="1" width="4.6640625" customWidth="1"/>
    <col min="2" max="2" width="3.44140625" style="9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130" t="s">
        <v>308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2:11" s="3" customFormat="1" ht="24.6" customHeight="1" thickBot="1" x14ac:dyDescent="0.35">
      <c r="B2" s="122" t="s">
        <v>1</v>
      </c>
      <c r="C2" s="123"/>
      <c r="D2" s="4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9</v>
      </c>
    </row>
    <row r="3" spans="2:11" ht="21.6" customHeight="1" thickBot="1" x14ac:dyDescent="0.35">
      <c r="B3" s="39">
        <v>2</v>
      </c>
      <c r="C3" s="40" t="s">
        <v>292</v>
      </c>
      <c r="D3" s="40">
        <v>19</v>
      </c>
      <c r="E3" s="40">
        <v>4</v>
      </c>
      <c r="F3" s="41">
        <v>23</v>
      </c>
      <c r="G3" s="41">
        <v>2</v>
      </c>
      <c r="H3" s="41" t="s">
        <v>23</v>
      </c>
      <c r="I3" s="41"/>
      <c r="J3" s="42">
        <v>46349</v>
      </c>
      <c r="K3" s="43">
        <f>F3+G3</f>
        <v>25</v>
      </c>
    </row>
    <row r="4" spans="2:11" ht="19.95" customHeight="1" x14ac:dyDescent="0.3">
      <c r="B4" s="44">
        <v>3</v>
      </c>
      <c r="C4" s="45" t="s">
        <v>293</v>
      </c>
      <c r="D4" s="45">
        <v>16</v>
      </c>
      <c r="E4" s="45">
        <v>4</v>
      </c>
      <c r="F4" s="46">
        <v>20</v>
      </c>
      <c r="G4" s="46">
        <v>1</v>
      </c>
      <c r="H4" s="46" t="s">
        <v>11</v>
      </c>
      <c r="I4" s="46"/>
      <c r="J4" s="197">
        <v>46356</v>
      </c>
      <c r="K4" s="199">
        <f>SUM(F4:F9)+SUM(G4:G9)</f>
        <v>324</v>
      </c>
    </row>
    <row r="5" spans="2:11" ht="19.95" customHeight="1" x14ac:dyDescent="0.3">
      <c r="B5" s="44">
        <v>4</v>
      </c>
      <c r="C5" s="45" t="s">
        <v>294</v>
      </c>
      <c r="D5" s="45">
        <v>29</v>
      </c>
      <c r="E5" s="45">
        <v>4</v>
      </c>
      <c r="F5" s="46">
        <v>33</v>
      </c>
      <c r="G5" s="46">
        <v>2</v>
      </c>
      <c r="H5" s="46" t="s">
        <v>11</v>
      </c>
      <c r="I5" s="46"/>
      <c r="J5" s="167"/>
      <c r="K5" s="200"/>
    </row>
    <row r="6" spans="2:11" ht="19.95" customHeight="1" x14ac:dyDescent="0.3">
      <c r="B6" s="44">
        <v>5</v>
      </c>
      <c r="C6" s="45" t="s">
        <v>295</v>
      </c>
      <c r="D6" s="45">
        <v>30</v>
      </c>
      <c r="E6" s="45">
        <v>4</v>
      </c>
      <c r="F6" s="46">
        <v>34</v>
      </c>
      <c r="G6" s="46">
        <v>2</v>
      </c>
      <c r="H6" s="46" t="s">
        <v>11</v>
      </c>
      <c r="I6" s="46"/>
      <c r="J6" s="167"/>
      <c r="K6" s="200"/>
    </row>
    <row r="7" spans="2:11" ht="19.95" customHeight="1" x14ac:dyDescent="0.3">
      <c r="B7" s="44">
        <v>6</v>
      </c>
      <c r="C7" s="45" t="s">
        <v>296</v>
      </c>
      <c r="D7" s="45">
        <v>126</v>
      </c>
      <c r="E7" s="45">
        <v>17</v>
      </c>
      <c r="F7" s="46">
        <v>143</v>
      </c>
      <c r="G7" s="46">
        <v>7</v>
      </c>
      <c r="H7" s="46" t="s">
        <v>11</v>
      </c>
      <c r="I7" s="46"/>
      <c r="J7" s="167"/>
      <c r="K7" s="200"/>
    </row>
    <row r="8" spans="2:11" ht="19.95" customHeight="1" x14ac:dyDescent="0.3">
      <c r="B8" s="44">
        <v>7</v>
      </c>
      <c r="C8" s="45" t="s">
        <v>297</v>
      </c>
      <c r="D8" s="45">
        <v>39</v>
      </c>
      <c r="E8" s="45">
        <v>0</v>
      </c>
      <c r="F8" s="46">
        <v>39</v>
      </c>
      <c r="G8" s="46">
        <v>3</v>
      </c>
      <c r="H8" s="46" t="s">
        <v>11</v>
      </c>
      <c r="I8" s="46"/>
      <c r="J8" s="167"/>
      <c r="K8" s="200"/>
    </row>
    <row r="9" spans="2:11" ht="19.95" customHeight="1" thickBot="1" x14ac:dyDescent="0.35">
      <c r="B9" s="44">
        <v>8</v>
      </c>
      <c r="C9" s="45" t="s">
        <v>298</v>
      </c>
      <c r="D9" s="45">
        <v>35</v>
      </c>
      <c r="E9" s="45">
        <v>3</v>
      </c>
      <c r="F9" s="46">
        <v>38</v>
      </c>
      <c r="G9" s="46">
        <v>2</v>
      </c>
      <c r="H9" s="46" t="s">
        <v>11</v>
      </c>
      <c r="I9" s="46"/>
      <c r="J9" s="198"/>
      <c r="K9" s="201"/>
    </row>
    <row r="10" spans="2:11" ht="19.95" customHeight="1" x14ac:dyDescent="0.3">
      <c r="B10" s="49">
        <v>9</v>
      </c>
      <c r="C10" s="50" t="s">
        <v>14</v>
      </c>
      <c r="D10" s="50">
        <v>30</v>
      </c>
      <c r="E10" s="50">
        <v>3</v>
      </c>
      <c r="F10" s="51">
        <v>33</v>
      </c>
      <c r="G10" s="51">
        <v>2</v>
      </c>
      <c r="H10" s="51" t="s">
        <v>11</v>
      </c>
      <c r="I10" s="51"/>
      <c r="J10" s="127">
        <v>46363</v>
      </c>
      <c r="K10" s="137">
        <f>SUM(F10:F33)+SUM(G10:G33)</f>
        <v>777</v>
      </c>
    </row>
    <row r="11" spans="2:11" ht="19.95" customHeight="1" x14ac:dyDescent="0.3">
      <c r="B11" s="49">
        <v>10</v>
      </c>
      <c r="C11" s="50" t="s">
        <v>16</v>
      </c>
      <c r="D11" s="50">
        <v>24</v>
      </c>
      <c r="E11" s="50">
        <v>2</v>
      </c>
      <c r="F11" s="51">
        <v>26</v>
      </c>
      <c r="G11" s="51">
        <v>2</v>
      </c>
      <c r="H11" s="51" t="s">
        <v>11</v>
      </c>
      <c r="I11" s="51"/>
      <c r="J11" s="128"/>
      <c r="K11" s="138"/>
    </row>
    <row r="12" spans="2:11" ht="19.95" customHeight="1" x14ac:dyDescent="0.3">
      <c r="B12" s="49">
        <v>11</v>
      </c>
      <c r="C12" s="50" t="s">
        <v>17</v>
      </c>
      <c r="D12" s="50">
        <v>20</v>
      </c>
      <c r="E12" s="50">
        <v>2</v>
      </c>
      <c r="F12" s="51">
        <v>22</v>
      </c>
      <c r="G12" s="51">
        <v>1</v>
      </c>
      <c r="H12" s="51" t="s">
        <v>11</v>
      </c>
      <c r="I12" s="51"/>
      <c r="J12" s="128"/>
      <c r="K12" s="138"/>
    </row>
    <row r="13" spans="2:11" ht="19.95" customHeight="1" x14ac:dyDescent="0.3">
      <c r="B13" s="49">
        <v>12</v>
      </c>
      <c r="C13" s="50" t="s">
        <v>18</v>
      </c>
      <c r="D13" s="50">
        <v>27</v>
      </c>
      <c r="E13" s="50">
        <v>0</v>
      </c>
      <c r="F13" s="51">
        <v>27</v>
      </c>
      <c r="G13" s="51">
        <v>1</v>
      </c>
      <c r="H13" s="51" t="s">
        <v>11</v>
      </c>
      <c r="I13" s="51"/>
      <c r="J13" s="128"/>
      <c r="K13" s="138"/>
    </row>
    <row r="14" spans="2:11" ht="19.95" customHeight="1" x14ac:dyDescent="0.3">
      <c r="B14" s="49">
        <v>13</v>
      </c>
      <c r="C14" s="50" t="s">
        <v>19</v>
      </c>
      <c r="D14" s="50">
        <v>79</v>
      </c>
      <c r="E14" s="50">
        <v>0</v>
      </c>
      <c r="F14" s="51">
        <v>79</v>
      </c>
      <c r="G14" s="51">
        <v>4</v>
      </c>
      <c r="H14" s="51" t="s">
        <v>11</v>
      </c>
      <c r="I14" s="51"/>
      <c r="J14" s="128"/>
      <c r="K14" s="138"/>
    </row>
    <row r="15" spans="2:11" ht="19.95" customHeight="1" thickBot="1" x14ac:dyDescent="0.35">
      <c r="B15" s="49">
        <v>14</v>
      </c>
      <c r="C15" s="50" t="s">
        <v>20</v>
      </c>
      <c r="D15" s="50">
        <v>24</v>
      </c>
      <c r="E15" s="50">
        <v>4</v>
      </c>
      <c r="F15" s="51">
        <v>28</v>
      </c>
      <c r="G15" s="51">
        <v>0</v>
      </c>
      <c r="H15" s="51" t="s">
        <v>11</v>
      </c>
      <c r="I15" s="51"/>
      <c r="J15" s="128"/>
      <c r="K15" s="138"/>
    </row>
    <row r="16" spans="2:11" ht="19.95" customHeight="1" x14ac:dyDescent="0.3">
      <c r="B16" s="49">
        <v>15</v>
      </c>
      <c r="C16" s="50" t="s">
        <v>21</v>
      </c>
      <c r="D16" s="50">
        <v>35</v>
      </c>
      <c r="E16" s="50">
        <v>7</v>
      </c>
      <c r="F16" s="51">
        <v>42</v>
      </c>
      <c r="G16" s="51">
        <v>3</v>
      </c>
      <c r="H16" s="51" t="s">
        <v>11</v>
      </c>
      <c r="I16" s="51"/>
      <c r="J16" s="128"/>
      <c r="K16" s="138"/>
    </row>
    <row r="17" spans="2:11" ht="19.95" customHeight="1" x14ac:dyDescent="0.3">
      <c r="B17" s="49">
        <v>16</v>
      </c>
      <c r="C17" s="50" t="s">
        <v>22</v>
      </c>
      <c r="D17" s="50">
        <v>24</v>
      </c>
      <c r="E17" s="50">
        <v>2</v>
      </c>
      <c r="F17" s="51">
        <v>26</v>
      </c>
      <c r="G17" s="51">
        <v>0</v>
      </c>
      <c r="H17" s="51" t="s">
        <v>23</v>
      </c>
      <c r="I17" s="51"/>
      <c r="J17" s="128"/>
      <c r="K17" s="138"/>
    </row>
    <row r="18" spans="2:11" ht="19.95" customHeight="1" x14ac:dyDescent="0.3">
      <c r="B18" s="49">
        <v>17</v>
      </c>
      <c r="C18" s="50" t="s">
        <v>24</v>
      </c>
      <c r="D18" s="50">
        <v>31</v>
      </c>
      <c r="E18" s="50">
        <v>7</v>
      </c>
      <c r="F18" s="51">
        <v>38</v>
      </c>
      <c r="G18" s="51">
        <v>0</v>
      </c>
      <c r="H18" s="51" t="s">
        <v>11</v>
      </c>
      <c r="I18" s="51"/>
      <c r="J18" s="128"/>
      <c r="K18" s="138"/>
    </row>
    <row r="19" spans="2:11" ht="19.95" customHeight="1" x14ac:dyDescent="0.3">
      <c r="B19" s="49">
        <v>18</v>
      </c>
      <c r="C19" s="50" t="s">
        <v>25</v>
      </c>
      <c r="D19" s="50">
        <v>29</v>
      </c>
      <c r="E19" s="50">
        <v>3</v>
      </c>
      <c r="F19" s="51">
        <v>32</v>
      </c>
      <c r="G19" s="51">
        <v>1</v>
      </c>
      <c r="H19" s="51" t="s">
        <v>11</v>
      </c>
      <c r="I19" s="51"/>
      <c r="J19" s="128"/>
      <c r="K19" s="138"/>
    </row>
    <row r="20" spans="2:11" ht="19.95" customHeight="1" x14ac:dyDescent="0.3">
      <c r="B20" s="49">
        <v>20</v>
      </c>
      <c r="C20" s="50" t="s">
        <v>26</v>
      </c>
      <c r="D20" s="50">
        <v>20</v>
      </c>
      <c r="E20" s="50">
        <v>0</v>
      </c>
      <c r="F20" s="51">
        <v>20</v>
      </c>
      <c r="G20" s="51">
        <v>1</v>
      </c>
      <c r="H20" s="51" t="s">
        <v>11</v>
      </c>
      <c r="I20" s="51"/>
      <c r="J20" s="128"/>
      <c r="K20" s="138"/>
    </row>
    <row r="21" spans="2:11" ht="19.95" customHeight="1" x14ac:dyDescent="0.3">
      <c r="B21" s="49">
        <v>21</v>
      </c>
      <c r="C21" s="50" t="s">
        <v>27</v>
      </c>
      <c r="D21" s="50">
        <v>25</v>
      </c>
      <c r="E21" s="50">
        <v>0</v>
      </c>
      <c r="F21" s="51">
        <v>25</v>
      </c>
      <c r="G21" s="51">
        <v>2</v>
      </c>
      <c r="H21" s="51" t="s">
        <v>11</v>
      </c>
      <c r="I21" s="51"/>
      <c r="J21" s="128"/>
      <c r="K21" s="138"/>
    </row>
    <row r="22" spans="2:11" ht="19.95" customHeight="1" thickBot="1" x14ac:dyDescent="0.35">
      <c r="B22" s="49">
        <v>22</v>
      </c>
      <c r="C22" s="50" t="s">
        <v>28</v>
      </c>
      <c r="D22" s="50">
        <v>75</v>
      </c>
      <c r="E22" s="50">
        <v>0</v>
      </c>
      <c r="F22" s="51">
        <v>75</v>
      </c>
      <c r="G22" s="51">
        <v>4</v>
      </c>
      <c r="H22" s="51" t="s">
        <v>11</v>
      </c>
      <c r="I22" s="51"/>
      <c r="J22" s="128"/>
      <c r="K22" s="138"/>
    </row>
    <row r="23" spans="2:11" ht="21.6" customHeight="1" x14ac:dyDescent="0.3">
      <c r="B23" s="49">
        <v>23</v>
      </c>
      <c r="C23" s="50" t="s">
        <v>29</v>
      </c>
      <c r="D23" s="50">
        <v>24</v>
      </c>
      <c r="E23" s="50">
        <v>2</v>
      </c>
      <c r="F23" s="51">
        <v>26</v>
      </c>
      <c r="G23" s="51">
        <v>0</v>
      </c>
      <c r="H23" s="51" t="s">
        <v>23</v>
      </c>
      <c r="I23" s="51"/>
      <c r="J23" s="128"/>
      <c r="K23" s="138"/>
    </row>
    <row r="24" spans="2:11" ht="21.6" customHeight="1" x14ac:dyDescent="0.3">
      <c r="B24" s="49">
        <v>24</v>
      </c>
      <c r="C24" s="50" t="s">
        <v>30</v>
      </c>
      <c r="D24" s="50">
        <v>27</v>
      </c>
      <c r="E24" s="50">
        <v>4</v>
      </c>
      <c r="F24" s="51">
        <v>31</v>
      </c>
      <c r="G24" s="51">
        <v>2</v>
      </c>
      <c r="H24" s="51" t="s">
        <v>23</v>
      </c>
      <c r="I24" s="51"/>
      <c r="J24" s="128"/>
      <c r="K24" s="138"/>
    </row>
    <row r="25" spans="2:11" ht="21.6" customHeight="1" x14ac:dyDescent="0.3">
      <c r="B25" s="49">
        <v>25</v>
      </c>
      <c r="C25" s="50" t="s">
        <v>31</v>
      </c>
      <c r="D25" s="50">
        <v>19</v>
      </c>
      <c r="E25" s="50">
        <v>4</v>
      </c>
      <c r="F25" s="51">
        <v>23</v>
      </c>
      <c r="G25" s="51">
        <v>1</v>
      </c>
      <c r="H25" s="51" t="s">
        <v>23</v>
      </c>
      <c r="I25" s="51"/>
      <c r="J25" s="128"/>
      <c r="K25" s="138"/>
    </row>
    <row r="26" spans="2:11" ht="21.6" customHeight="1" x14ac:dyDescent="0.3">
      <c r="B26" s="49">
        <v>26</v>
      </c>
      <c r="C26" s="50" t="s">
        <v>32</v>
      </c>
      <c r="D26" s="50">
        <v>9</v>
      </c>
      <c r="E26" s="50">
        <v>0</v>
      </c>
      <c r="F26" s="51">
        <v>9</v>
      </c>
      <c r="G26" s="51">
        <v>1</v>
      </c>
      <c r="H26" s="51" t="s">
        <v>13</v>
      </c>
      <c r="I26" s="51"/>
      <c r="J26" s="128"/>
      <c r="K26" s="138"/>
    </row>
    <row r="27" spans="2:11" ht="21.6" customHeight="1" x14ac:dyDescent="0.3">
      <c r="B27" s="49">
        <v>27</v>
      </c>
      <c r="C27" s="50" t="s">
        <v>33</v>
      </c>
      <c r="D27" s="50">
        <v>18</v>
      </c>
      <c r="E27" s="50">
        <v>4</v>
      </c>
      <c r="F27" s="51">
        <v>22</v>
      </c>
      <c r="G27" s="51">
        <v>2</v>
      </c>
      <c r="H27" s="51" t="s">
        <v>23</v>
      </c>
      <c r="I27" s="51"/>
      <c r="J27" s="128"/>
      <c r="K27" s="138"/>
    </row>
    <row r="28" spans="2:11" ht="21.6" customHeight="1" x14ac:dyDescent="0.3">
      <c r="B28" s="49">
        <v>28</v>
      </c>
      <c r="C28" s="50" t="s">
        <v>34</v>
      </c>
      <c r="D28" s="50">
        <v>23</v>
      </c>
      <c r="E28" s="50">
        <v>4</v>
      </c>
      <c r="F28" s="51">
        <v>27</v>
      </c>
      <c r="G28" s="51">
        <v>0</v>
      </c>
      <c r="H28" s="51" t="s">
        <v>35</v>
      </c>
      <c r="I28" s="51"/>
      <c r="J28" s="128"/>
      <c r="K28" s="138"/>
    </row>
    <row r="29" spans="2:11" ht="21.6" customHeight="1" x14ac:dyDescent="0.3">
      <c r="B29" s="49">
        <v>29</v>
      </c>
      <c r="C29" s="50" t="s">
        <v>36</v>
      </c>
      <c r="D29" s="50">
        <v>46</v>
      </c>
      <c r="E29" s="50">
        <v>0</v>
      </c>
      <c r="F29" s="51">
        <v>46</v>
      </c>
      <c r="G29" s="51">
        <v>2</v>
      </c>
      <c r="H29" s="51" t="s">
        <v>37</v>
      </c>
      <c r="I29" s="51"/>
      <c r="J29" s="128"/>
      <c r="K29" s="138"/>
    </row>
    <row r="30" spans="2:11" ht="21.6" customHeight="1" thickBot="1" x14ac:dyDescent="0.35">
      <c r="B30" s="49">
        <v>30</v>
      </c>
      <c r="C30" s="50" t="s">
        <v>38</v>
      </c>
      <c r="D30" s="50">
        <v>18</v>
      </c>
      <c r="E30" s="50">
        <v>4</v>
      </c>
      <c r="F30" s="51">
        <v>22</v>
      </c>
      <c r="G30" s="51">
        <v>0</v>
      </c>
      <c r="H30" s="51" t="s">
        <v>35</v>
      </c>
      <c r="I30" s="51"/>
      <c r="J30" s="128"/>
      <c r="K30" s="138"/>
    </row>
    <row r="31" spans="2:11" ht="21.6" customHeight="1" x14ac:dyDescent="0.3">
      <c r="B31" s="49">
        <v>31</v>
      </c>
      <c r="C31" s="50" t="s">
        <v>39</v>
      </c>
      <c r="D31" s="50">
        <v>22</v>
      </c>
      <c r="E31" s="50">
        <v>0</v>
      </c>
      <c r="F31" s="51">
        <v>22</v>
      </c>
      <c r="G31" s="51">
        <v>1</v>
      </c>
      <c r="H31" s="51" t="s">
        <v>35</v>
      </c>
      <c r="I31" s="51"/>
      <c r="J31" s="128"/>
      <c r="K31" s="138"/>
    </row>
    <row r="32" spans="2:11" ht="21.6" customHeight="1" x14ac:dyDescent="0.3">
      <c r="B32" s="49">
        <v>32</v>
      </c>
      <c r="C32" s="50" t="s">
        <v>40</v>
      </c>
      <c r="D32" s="50">
        <v>24</v>
      </c>
      <c r="E32" s="50">
        <v>0</v>
      </c>
      <c r="F32" s="51">
        <v>24</v>
      </c>
      <c r="G32" s="51">
        <v>1</v>
      </c>
      <c r="H32" s="51" t="s">
        <v>35</v>
      </c>
      <c r="I32" s="51"/>
      <c r="J32" s="128"/>
      <c r="K32" s="138"/>
    </row>
    <row r="33" spans="2:11" ht="21.6" customHeight="1" x14ac:dyDescent="0.3">
      <c r="B33" s="49">
        <v>33</v>
      </c>
      <c r="C33" s="50" t="s">
        <v>41</v>
      </c>
      <c r="D33" s="50">
        <v>20</v>
      </c>
      <c r="E33" s="50">
        <v>0</v>
      </c>
      <c r="F33" s="51">
        <v>20</v>
      </c>
      <c r="G33" s="51">
        <v>1</v>
      </c>
      <c r="H33" s="51" t="s">
        <v>35</v>
      </c>
      <c r="I33" s="51"/>
      <c r="J33" s="129"/>
      <c r="K33" s="139"/>
    </row>
    <row r="34" spans="2:11" ht="21.6" customHeight="1" x14ac:dyDescent="0.3">
      <c r="B34" s="54">
        <v>35</v>
      </c>
      <c r="C34" s="55" t="s">
        <v>44</v>
      </c>
      <c r="D34" s="55">
        <v>26</v>
      </c>
      <c r="E34" s="55">
        <v>2</v>
      </c>
      <c r="F34" s="56">
        <v>28</v>
      </c>
      <c r="G34" s="56">
        <v>0</v>
      </c>
      <c r="H34" s="56" t="s">
        <v>11</v>
      </c>
      <c r="I34" s="56"/>
      <c r="J34" s="133">
        <v>46370</v>
      </c>
      <c r="K34" s="135">
        <f>SUM(F34:F66)+SUM(G34:G66)</f>
        <v>1016</v>
      </c>
    </row>
    <row r="35" spans="2:11" ht="21.6" customHeight="1" x14ac:dyDescent="0.3">
      <c r="B35" s="54">
        <v>36</v>
      </c>
      <c r="C35" s="55" t="s">
        <v>46</v>
      </c>
      <c r="D35" s="55">
        <v>35</v>
      </c>
      <c r="E35" s="55">
        <v>0</v>
      </c>
      <c r="F35" s="56">
        <v>35</v>
      </c>
      <c r="G35" s="56">
        <v>2</v>
      </c>
      <c r="H35" s="56" t="s">
        <v>11</v>
      </c>
      <c r="I35" s="56"/>
      <c r="J35" s="151"/>
      <c r="K35" s="207"/>
    </row>
    <row r="36" spans="2:11" ht="21.6" customHeight="1" x14ac:dyDescent="0.3">
      <c r="B36" s="54">
        <v>37</v>
      </c>
      <c r="C36" s="55" t="s">
        <v>47</v>
      </c>
      <c r="D36" s="55">
        <v>28</v>
      </c>
      <c r="E36" s="55">
        <v>2</v>
      </c>
      <c r="F36" s="56">
        <v>30</v>
      </c>
      <c r="G36" s="56">
        <v>2</v>
      </c>
      <c r="H36" s="56" t="s">
        <v>11</v>
      </c>
      <c r="I36" s="56"/>
      <c r="J36" s="151"/>
      <c r="K36" s="207"/>
    </row>
    <row r="37" spans="2:11" ht="21.6" customHeight="1" x14ac:dyDescent="0.3">
      <c r="B37" s="54">
        <v>38</v>
      </c>
      <c r="C37" s="55" t="s">
        <v>48</v>
      </c>
      <c r="D37" s="55">
        <v>39</v>
      </c>
      <c r="E37" s="55">
        <v>4</v>
      </c>
      <c r="F37" s="56">
        <v>43</v>
      </c>
      <c r="G37" s="56">
        <v>3</v>
      </c>
      <c r="H37" s="56" t="s">
        <v>13</v>
      </c>
      <c r="I37" s="56"/>
      <c r="J37" s="151"/>
      <c r="K37" s="207"/>
    </row>
    <row r="38" spans="2:11" ht="21.6" customHeight="1" x14ac:dyDescent="0.3">
      <c r="B38" s="54">
        <v>39</v>
      </c>
      <c r="C38" s="55" t="s">
        <v>49</v>
      </c>
      <c r="D38" s="55">
        <v>25</v>
      </c>
      <c r="E38" s="55">
        <v>5</v>
      </c>
      <c r="F38" s="56">
        <v>30</v>
      </c>
      <c r="G38" s="56">
        <v>0</v>
      </c>
      <c r="H38" s="56" t="s">
        <v>11</v>
      </c>
      <c r="I38" s="56"/>
      <c r="J38" s="151"/>
      <c r="K38" s="207"/>
    </row>
    <row r="39" spans="2:11" ht="21.6" customHeight="1" x14ac:dyDescent="0.3">
      <c r="B39" s="54">
        <v>41</v>
      </c>
      <c r="C39" s="55" t="s">
        <v>50</v>
      </c>
      <c r="D39" s="55">
        <v>30</v>
      </c>
      <c r="E39" s="55">
        <v>5</v>
      </c>
      <c r="F39" s="56">
        <v>35</v>
      </c>
      <c r="G39" s="56">
        <v>0</v>
      </c>
      <c r="H39" s="56" t="s">
        <v>11</v>
      </c>
      <c r="I39" s="56"/>
      <c r="J39" s="151"/>
      <c r="K39" s="207"/>
    </row>
    <row r="40" spans="2:11" ht="21.6" customHeight="1" x14ac:dyDescent="0.3">
      <c r="B40" s="54">
        <v>43</v>
      </c>
      <c r="C40" s="55" t="s">
        <v>51</v>
      </c>
      <c r="D40" s="55">
        <v>27</v>
      </c>
      <c r="E40" s="55">
        <v>2</v>
      </c>
      <c r="F40" s="56">
        <v>29</v>
      </c>
      <c r="G40" s="56">
        <v>1</v>
      </c>
      <c r="H40" s="56" t="s">
        <v>11</v>
      </c>
      <c r="I40" s="56"/>
      <c r="J40" s="151"/>
      <c r="K40" s="207"/>
    </row>
    <row r="41" spans="2:11" ht="21.6" customHeight="1" thickBot="1" x14ac:dyDescent="0.35">
      <c r="B41" s="54">
        <v>44</v>
      </c>
      <c r="C41" s="55" t="s">
        <v>52</v>
      </c>
      <c r="D41" s="55">
        <v>25</v>
      </c>
      <c r="E41" s="55">
        <v>4</v>
      </c>
      <c r="F41" s="56">
        <v>29</v>
      </c>
      <c r="G41" s="56">
        <v>0</v>
      </c>
      <c r="H41" s="56" t="s">
        <v>11</v>
      </c>
      <c r="I41" s="56"/>
      <c r="J41" s="151"/>
      <c r="K41" s="207"/>
    </row>
    <row r="42" spans="2:11" ht="21.6" customHeight="1" x14ac:dyDescent="0.3">
      <c r="B42" s="54">
        <v>45</v>
      </c>
      <c r="C42" s="55" t="s">
        <v>53</v>
      </c>
      <c r="D42" s="55">
        <v>26</v>
      </c>
      <c r="E42" s="55">
        <v>0</v>
      </c>
      <c r="F42" s="56">
        <v>26</v>
      </c>
      <c r="G42" s="56">
        <v>2</v>
      </c>
      <c r="H42" s="56" t="s">
        <v>11</v>
      </c>
      <c r="I42" s="56"/>
      <c r="J42" s="151"/>
      <c r="K42" s="207"/>
    </row>
    <row r="43" spans="2:11" ht="21.6" customHeight="1" x14ac:dyDescent="0.3">
      <c r="B43" s="54">
        <v>46</v>
      </c>
      <c r="C43" s="55" t="s">
        <v>54</v>
      </c>
      <c r="D43" s="55">
        <v>23</v>
      </c>
      <c r="E43" s="55">
        <v>8</v>
      </c>
      <c r="F43" s="56">
        <v>31</v>
      </c>
      <c r="G43" s="56">
        <v>2</v>
      </c>
      <c r="H43" s="56" t="s">
        <v>11</v>
      </c>
      <c r="I43" s="56"/>
      <c r="J43" s="151"/>
      <c r="K43" s="207"/>
    </row>
    <row r="44" spans="2:11" ht="21.6" customHeight="1" x14ac:dyDescent="0.3">
      <c r="B44" s="54">
        <v>47</v>
      </c>
      <c r="C44" s="55" t="s">
        <v>55</v>
      </c>
      <c r="D44" s="55">
        <v>25</v>
      </c>
      <c r="E44" s="55">
        <v>3</v>
      </c>
      <c r="F44" s="56">
        <v>28</v>
      </c>
      <c r="G44" s="56">
        <v>0</v>
      </c>
      <c r="H44" s="56" t="s">
        <v>11</v>
      </c>
      <c r="I44" s="56"/>
      <c r="J44" s="151"/>
      <c r="K44" s="207"/>
    </row>
    <row r="45" spans="2:11" ht="21.6" customHeight="1" x14ac:dyDescent="0.3">
      <c r="B45" s="54">
        <v>48</v>
      </c>
      <c r="C45" s="55" t="s">
        <v>56</v>
      </c>
      <c r="D45" s="55">
        <v>35</v>
      </c>
      <c r="E45" s="55">
        <v>3</v>
      </c>
      <c r="F45" s="56">
        <v>38</v>
      </c>
      <c r="G45" s="56">
        <v>2</v>
      </c>
      <c r="H45" s="56" t="s">
        <v>11</v>
      </c>
      <c r="I45" s="56"/>
      <c r="J45" s="151"/>
      <c r="K45" s="207"/>
    </row>
    <row r="46" spans="2:11" ht="21.6" customHeight="1" x14ac:dyDescent="0.3">
      <c r="B46" s="54">
        <v>49</v>
      </c>
      <c r="C46" s="55" t="s">
        <v>57</v>
      </c>
      <c r="D46" s="55">
        <v>15</v>
      </c>
      <c r="E46" s="55">
        <v>3</v>
      </c>
      <c r="F46" s="56">
        <v>18</v>
      </c>
      <c r="G46" s="56">
        <v>1</v>
      </c>
      <c r="H46" s="56" t="s">
        <v>11</v>
      </c>
      <c r="I46" s="56"/>
      <c r="J46" s="151"/>
      <c r="K46" s="207"/>
    </row>
    <row r="47" spans="2:11" ht="21.6" customHeight="1" x14ac:dyDescent="0.3">
      <c r="B47" s="54">
        <v>50</v>
      </c>
      <c r="C47" s="55" t="s">
        <v>58</v>
      </c>
      <c r="D47" s="55">
        <v>39</v>
      </c>
      <c r="E47" s="55">
        <v>4</v>
      </c>
      <c r="F47" s="56">
        <v>43</v>
      </c>
      <c r="G47" s="56">
        <v>0</v>
      </c>
      <c r="H47" s="56" t="s">
        <v>11</v>
      </c>
      <c r="I47" s="56"/>
      <c r="J47" s="151"/>
      <c r="K47" s="207"/>
    </row>
    <row r="48" spans="2:11" ht="21.6" customHeight="1" thickBot="1" x14ac:dyDescent="0.35">
      <c r="B48" s="54">
        <v>51</v>
      </c>
      <c r="C48" s="55" t="s">
        <v>59</v>
      </c>
      <c r="D48" s="55">
        <v>23</v>
      </c>
      <c r="E48" s="55">
        <v>1</v>
      </c>
      <c r="F48" s="56">
        <v>24</v>
      </c>
      <c r="G48" s="56">
        <v>1</v>
      </c>
      <c r="H48" s="56" t="s">
        <v>11</v>
      </c>
      <c r="I48" s="56"/>
      <c r="J48" s="151"/>
      <c r="K48" s="207"/>
    </row>
    <row r="49" spans="2:11" ht="21" customHeight="1" x14ac:dyDescent="0.3">
      <c r="B49" s="54">
        <v>52</v>
      </c>
      <c r="C49" s="55" t="s">
        <v>60</v>
      </c>
      <c r="D49" s="55">
        <v>23</v>
      </c>
      <c r="E49" s="55">
        <v>3</v>
      </c>
      <c r="F49" s="56">
        <v>26</v>
      </c>
      <c r="G49" s="56">
        <v>1</v>
      </c>
      <c r="H49" s="56" t="s">
        <v>11</v>
      </c>
      <c r="I49" s="56"/>
      <c r="J49" s="151"/>
      <c r="K49" s="207"/>
    </row>
    <row r="50" spans="2:11" ht="21" customHeight="1" x14ac:dyDescent="0.3">
      <c r="B50" s="54">
        <v>53</v>
      </c>
      <c r="C50" s="55" t="s">
        <v>61</v>
      </c>
      <c r="D50" s="55">
        <v>28</v>
      </c>
      <c r="E50" s="55">
        <v>2</v>
      </c>
      <c r="F50" s="56">
        <v>30</v>
      </c>
      <c r="G50" s="56">
        <v>2</v>
      </c>
      <c r="H50" s="56" t="s">
        <v>11</v>
      </c>
      <c r="I50" s="56"/>
      <c r="J50" s="151"/>
      <c r="K50" s="207"/>
    </row>
    <row r="51" spans="2:11" ht="21" customHeight="1" x14ac:dyDescent="0.3">
      <c r="B51" s="54">
        <v>54</v>
      </c>
      <c r="C51" s="55" t="s">
        <v>62</v>
      </c>
      <c r="D51" s="55">
        <v>10</v>
      </c>
      <c r="E51" s="55">
        <v>1</v>
      </c>
      <c r="F51" s="56">
        <v>11</v>
      </c>
      <c r="G51" s="56">
        <v>1</v>
      </c>
      <c r="H51" s="56" t="s">
        <v>11</v>
      </c>
      <c r="I51" s="56"/>
      <c r="J51" s="151"/>
      <c r="K51" s="207"/>
    </row>
    <row r="52" spans="2:11" ht="21" customHeight="1" x14ac:dyDescent="0.3">
      <c r="B52" s="54">
        <v>56</v>
      </c>
      <c r="C52" s="55" t="s">
        <v>63</v>
      </c>
      <c r="D52" s="55">
        <v>21</v>
      </c>
      <c r="E52" s="55">
        <v>0</v>
      </c>
      <c r="F52" s="56">
        <v>21</v>
      </c>
      <c r="G52" s="56">
        <v>1</v>
      </c>
      <c r="H52" s="56" t="s">
        <v>11</v>
      </c>
      <c r="I52" s="56"/>
      <c r="J52" s="151"/>
      <c r="K52" s="207"/>
    </row>
    <row r="53" spans="2:11" ht="21" customHeight="1" thickBot="1" x14ac:dyDescent="0.35">
      <c r="B53" s="54">
        <v>57</v>
      </c>
      <c r="C53" s="55" t="s">
        <v>64</v>
      </c>
      <c r="D53" s="55">
        <v>27</v>
      </c>
      <c r="E53" s="55">
        <v>3</v>
      </c>
      <c r="F53" s="56">
        <v>30</v>
      </c>
      <c r="G53" s="56">
        <v>2</v>
      </c>
      <c r="H53" s="56" t="s">
        <v>23</v>
      </c>
      <c r="I53" s="56"/>
      <c r="J53" s="151"/>
      <c r="K53" s="207"/>
    </row>
    <row r="54" spans="2:11" ht="21" customHeight="1" x14ac:dyDescent="0.3">
      <c r="B54" s="54">
        <v>58</v>
      </c>
      <c r="C54" s="55" t="s">
        <v>65</v>
      </c>
      <c r="D54" s="55">
        <v>35</v>
      </c>
      <c r="E54" s="55">
        <v>4</v>
      </c>
      <c r="F54" s="56">
        <v>39</v>
      </c>
      <c r="G54" s="56">
        <v>2</v>
      </c>
      <c r="H54" s="56" t="s">
        <v>23</v>
      </c>
      <c r="I54" s="56"/>
      <c r="J54" s="151"/>
      <c r="K54" s="207"/>
    </row>
    <row r="55" spans="2:11" ht="21" customHeight="1" x14ac:dyDescent="0.3">
      <c r="B55" s="54">
        <v>59</v>
      </c>
      <c r="C55" s="55" t="s">
        <v>66</v>
      </c>
      <c r="D55" s="55">
        <v>35</v>
      </c>
      <c r="E55" s="55">
        <v>2</v>
      </c>
      <c r="F55" s="56">
        <v>37</v>
      </c>
      <c r="G55" s="56">
        <v>0</v>
      </c>
      <c r="H55" s="56" t="s">
        <v>35</v>
      </c>
      <c r="I55" s="56"/>
      <c r="J55" s="151"/>
      <c r="K55" s="207"/>
    </row>
    <row r="56" spans="2:11" ht="21" customHeight="1" x14ac:dyDescent="0.3">
      <c r="B56" s="54">
        <v>60</v>
      </c>
      <c r="C56" s="55" t="s">
        <v>67</v>
      </c>
      <c r="D56" s="55">
        <v>30</v>
      </c>
      <c r="E56" s="55">
        <v>4</v>
      </c>
      <c r="F56" s="56">
        <v>34</v>
      </c>
      <c r="G56" s="56">
        <v>2</v>
      </c>
      <c r="H56" s="56" t="s">
        <v>23</v>
      </c>
      <c r="I56" s="56"/>
      <c r="J56" s="151"/>
      <c r="K56" s="207"/>
    </row>
    <row r="57" spans="2:11" ht="21" customHeight="1" x14ac:dyDescent="0.3">
      <c r="B57" s="54">
        <v>61</v>
      </c>
      <c r="C57" s="55" t="s">
        <v>68</v>
      </c>
      <c r="D57" s="55">
        <v>26</v>
      </c>
      <c r="E57" s="55">
        <v>4</v>
      </c>
      <c r="F57" s="56">
        <v>30</v>
      </c>
      <c r="G57" s="56">
        <v>1</v>
      </c>
      <c r="H57" s="56" t="s">
        <v>35</v>
      </c>
      <c r="I57" s="56"/>
      <c r="J57" s="151"/>
      <c r="K57" s="207"/>
    </row>
    <row r="58" spans="2:11" ht="21" customHeight="1" x14ac:dyDescent="0.3">
      <c r="B58" s="54">
        <v>62</v>
      </c>
      <c r="C58" s="55" t="s">
        <v>69</v>
      </c>
      <c r="D58" s="55">
        <v>28</v>
      </c>
      <c r="E58" s="55">
        <v>0</v>
      </c>
      <c r="F58" s="56">
        <v>28</v>
      </c>
      <c r="G58" s="56">
        <v>2</v>
      </c>
      <c r="H58" s="56" t="s">
        <v>35</v>
      </c>
      <c r="I58" s="56"/>
      <c r="J58" s="151"/>
      <c r="K58" s="207"/>
    </row>
    <row r="59" spans="2:11" ht="21" customHeight="1" x14ac:dyDescent="0.3">
      <c r="B59" s="54">
        <v>63</v>
      </c>
      <c r="C59" s="55" t="s">
        <v>70</v>
      </c>
      <c r="D59" s="55">
        <v>26</v>
      </c>
      <c r="E59" s="55">
        <v>3</v>
      </c>
      <c r="F59" s="56">
        <v>29</v>
      </c>
      <c r="G59" s="56">
        <v>2</v>
      </c>
      <c r="H59" s="56" t="s">
        <v>35</v>
      </c>
      <c r="I59" s="56"/>
      <c r="J59" s="151"/>
      <c r="K59" s="207"/>
    </row>
    <row r="60" spans="2:11" ht="21" customHeight="1" x14ac:dyDescent="0.3">
      <c r="B60" s="54">
        <v>64</v>
      </c>
      <c r="C60" s="55" t="s">
        <v>71</v>
      </c>
      <c r="D60" s="55">
        <v>22</v>
      </c>
      <c r="E60" s="55">
        <v>1</v>
      </c>
      <c r="F60" s="56">
        <v>23</v>
      </c>
      <c r="G60" s="56">
        <v>1</v>
      </c>
      <c r="H60" s="56" t="s">
        <v>23</v>
      </c>
      <c r="I60" s="56"/>
      <c r="J60" s="151"/>
      <c r="K60" s="207"/>
    </row>
    <row r="61" spans="2:11" ht="21" customHeight="1" thickBot="1" x14ac:dyDescent="0.35">
      <c r="B61" s="54">
        <v>65</v>
      </c>
      <c r="C61" s="55" t="s">
        <v>72</v>
      </c>
      <c r="D61" s="55">
        <v>26</v>
      </c>
      <c r="E61" s="55">
        <v>2</v>
      </c>
      <c r="F61" s="56">
        <v>28</v>
      </c>
      <c r="G61" s="56">
        <v>1</v>
      </c>
      <c r="H61" s="56" t="s">
        <v>23</v>
      </c>
      <c r="I61" s="56"/>
      <c r="J61" s="151"/>
      <c r="K61" s="207"/>
    </row>
    <row r="62" spans="2:11" ht="21" customHeight="1" x14ac:dyDescent="0.3">
      <c r="B62" s="54">
        <v>66</v>
      </c>
      <c r="C62" s="55" t="s">
        <v>73</v>
      </c>
      <c r="D62" s="55">
        <v>32</v>
      </c>
      <c r="E62" s="55">
        <v>4</v>
      </c>
      <c r="F62" s="56">
        <v>36</v>
      </c>
      <c r="G62" s="56">
        <v>2</v>
      </c>
      <c r="H62" s="56" t="s">
        <v>23</v>
      </c>
      <c r="I62" s="56"/>
      <c r="J62" s="151"/>
      <c r="K62" s="207"/>
    </row>
    <row r="63" spans="2:11" ht="21" customHeight="1" x14ac:dyDescent="0.3">
      <c r="B63" s="54">
        <v>67</v>
      </c>
      <c r="C63" s="55" t="s">
        <v>74</v>
      </c>
      <c r="D63" s="55">
        <v>19</v>
      </c>
      <c r="E63" s="55">
        <v>3</v>
      </c>
      <c r="F63" s="56">
        <v>22</v>
      </c>
      <c r="G63" s="56">
        <v>0</v>
      </c>
      <c r="H63" s="56" t="s">
        <v>23</v>
      </c>
      <c r="I63" s="56"/>
      <c r="J63" s="151"/>
      <c r="K63" s="207"/>
    </row>
    <row r="64" spans="2:11" ht="21" customHeight="1" x14ac:dyDescent="0.3">
      <c r="B64" s="54">
        <v>68</v>
      </c>
      <c r="C64" s="55" t="s">
        <v>75</v>
      </c>
      <c r="D64" s="55">
        <v>26</v>
      </c>
      <c r="E64" s="55">
        <v>4</v>
      </c>
      <c r="F64" s="56">
        <v>30</v>
      </c>
      <c r="G64" s="56">
        <v>0</v>
      </c>
      <c r="H64" s="56" t="s">
        <v>13</v>
      </c>
      <c r="I64" s="56"/>
      <c r="J64" s="151"/>
      <c r="K64" s="207"/>
    </row>
    <row r="65" spans="2:11" ht="21" customHeight="1" x14ac:dyDescent="0.3">
      <c r="B65" s="54">
        <v>69</v>
      </c>
      <c r="C65" s="55" t="s">
        <v>76</v>
      </c>
      <c r="D65" s="55">
        <v>27</v>
      </c>
      <c r="E65" s="55">
        <v>1</v>
      </c>
      <c r="F65" s="56">
        <v>28</v>
      </c>
      <c r="G65" s="56">
        <v>2</v>
      </c>
      <c r="H65" s="56" t="s">
        <v>35</v>
      </c>
      <c r="I65" s="56"/>
      <c r="J65" s="151"/>
      <c r="K65" s="207"/>
    </row>
    <row r="66" spans="2:11" ht="21" customHeight="1" x14ac:dyDescent="0.3">
      <c r="B66" s="54">
        <v>82</v>
      </c>
      <c r="C66" s="55" t="s">
        <v>77</v>
      </c>
      <c r="D66" s="55">
        <v>26</v>
      </c>
      <c r="E66" s="55">
        <v>3</v>
      </c>
      <c r="F66" s="56">
        <v>29</v>
      </c>
      <c r="G66" s="56">
        <v>0</v>
      </c>
      <c r="H66" s="56" t="s">
        <v>11</v>
      </c>
      <c r="I66" s="56"/>
      <c r="J66" s="134"/>
      <c r="K66" s="136"/>
    </row>
    <row r="67" spans="2:11" ht="21" customHeight="1" x14ac:dyDescent="0.3">
      <c r="B67" s="59">
        <v>19</v>
      </c>
      <c r="C67" s="60" t="s">
        <v>78</v>
      </c>
      <c r="D67" s="60">
        <v>33</v>
      </c>
      <c r="E67" s="60">
        <v>0</v>
      </c>
      <c r="F67" s="61">
        <v>33</v>
      </c>
      <c r="G67" s="61">
        <v>0</v>
      </c>
      <c r="H67" s="61" t="s">
        <v>11</v>
      </c>
      <c r="I67" s="61"/>
      <c r="J67" s="124">
        <v>46377</v>
      </c>
      <c r="K67" s="119">
        <f>SUM(F67:F94)+SUM(G67:G94)</f>
        <v>894</v>
      </c>
    </row>
    <row r="68" spans="2:11" ht="21" customHeight="1" x14ac:dyDescent="0.3">
      <c r="B68" s="59">
        <v>55</v>
      </c>
      <c r="C68" s="60" t="s">
        <v>80</v>
      </c>
      <c r="D68" s="60">
        <v>26</v>
      </c>
      <c r="E68" s="60">
        <v>3</v>
      </c>
      <c r="F68" s="61">
        <v>29</v>
      </c>
      <c r="G68" s="61">
        <v>2</v>
      </c>
      <c r="H68" s="61" t="s">
        <v>13</v>
      </c>
      <c r="I68" s="61"/>
      <c r="J68" s="125"/>
      <c r="K68" s="120"/>
    </row>
    <row r="69" spans="2:11" ht="21" customHeight="1" x14ac:dyDescent="0.3">
      <c r="B69" s="59">
        <v>70</v>
      </c>
      <c r="C69" s="60" t="s">
        <v>81</v>
      </c>
      <c r="D69" s="60">
        <v>27</v>
      </c>
      <c r="E69" s="60">
        <v>3</v>
      </c>
      <c r="F69" s="61">
        <v>30</v>
      </c>
      <c r="G69" s="61">
        <v>2</v>
      </c>
      <c r="H69" s="61" t="s">
        <v>11</v>
      </c>
      <c r="I69" s="61"/>
      <c r="J69" s="125"/>
      <c r="K69" s="120"/>
    </row>
    <row r="70" spans="2:11" ht="21" customHeight="1" thickBot="1" x14ac:dyDescent="0.35">
      <c r="B70" s="59">
        <v>71</v>
      </c>
      <c r="C70" s="60" t="s">
        <v>82</v>
      </c>
      <c r="D70" s="60">
        <v>26</v>
      </c>
      <c r="E70" s="60">
        <v>8</v>
      </c>
      <c r="F70" s="61">
        <v>34</v>
      </c>
      <c r="G70" s="61">
        <v>1</v>
      </c>
      <c r="H70" s="61" t="s">
        <v>11</v>
      </c>
      <c r="I70" s="61"/>
      <c r="J70" s="125"/>
      <c r="K70" s="120"/>
    </row>
    <row r="71" spans="2:11" ht="22.95" customHeight="1" thickBot="1" x14ac:dyDescent="0.35">
      <c r="B71" s="59">
        <v>72</v>
      </c>
      <c r="C71" s="60" t="s">
        <v>83</v>
      </c>
      <c r="D71" s="60">
        <v>15</v>
      </c>
      <c r="E71" s="60">
        <v>1</v>
      </c>
      <c r="F71" s="61">
        <v>16</v>
      </c>
      <c r="G71" s="61">
        <v>1</v>
      </c>
      <c r="H71" s="61" t="s">
        <v>13</v>
      </c>
      <c r="I71" s="61"/>
      <c r="J71" s="125"/>
      <c r="K71" s="120"/>
    </row>
    <row r="72" spans="2:11" ht="19.2" customHeight="1" x14ac:dyDescent="0.3">
      <c r="B72" s="59">
        <v>73</v>
      </c>
      <c r="C72" s="60" t="s">
        <v>84</v>
      </c>
      <c r="D72" s="60">
        <v>36</v>
      </c>
      <c r="E72" s="60">
        <v>0</v>
      </c>
      <c r="F72" s="61">
        <v>36</v>
      </c>
      <c r="G72" s="61">
        <v>2</v>
      </c>
      <c r="H72" s="61" t="s">
        <v>11</v>
      </c>
      <c r="I72" s="61"/>
      <c r="J72" s="125"/>
      <c r="K72" s="120"/>
    </row>
    <row r="73" spans="2:11" ht="19.2" customHeight="1" x14ac:dyDescent="0.3">
      <c r="B73" s="59">
        <v>74</v>
      </c>
      <c r="C73" s="60" t="s">
        <v>85</v>
      </c>
      <c r="D73" s="60">
        <v>19</v>
      </c>
      <c r="E73" s="60">
        <v>3</v>
      </c>
      <c r="F73" s="61">
        <v>22</v>
      </c>
      <c r="G73" s="61">
        <v>0</v>
      </c>
      <c r="H73" s="61" t="s">
        <v>11</v>
      </c>
      <c r="I73" s="61"/>
      <c r="J73" s="125"/>
      <c r="K73" s="120"/>
    </row>
    <row r="74" spans="2:11" ht="26.4" x14ac:dyDescent="0.3">
      <c r="B74" s="59">
        <v>75</v>
      </c>
      <c r="C74" s="60" t="s">
        <v>86</v>
      </c>
      <c r="D74" s="60">
        <v>37</v>
      </c>
      <c r="E74" s="60">
        <v>9</v>
      </c>
      <c r="F74" s="61">
        <v>46</v>
      </c>
      <c r="G74" s="61">
        <v>0</v>
      </c>
      <c r="H74" s="61" t="s">
        <v>11</v>
      </c>
      <c r="I74" s="61"/>
      <c r="J74" s="125"/>
      <c r="K74" s="120"/>
    </row>
    <row r="75" spans="2:11" ht="26.4" x14ac:dyDescent="0.3">
      <c r="B75" s="59">
        <v>76</v>
      </c>
      <c r="C75" s="60" t="s">
        <v>87</v>
      </c>
      <c r="D75" s="60">
        <v>30</v>
      </c>
      <c r="E75" s="60">
        <v>6</v>
      </c>
      <c r="F75" s="61">
        <v>36</v>
      </c>
      <c r="G75" s="61">
        <v>2</v>
      </c>
      <c r="H75" s="61" t="s">
        <v>11</v>
      </c>
      <c r="I75" s="61"/>
      <c r="J75" s="125"/>
      <c r="K75" s="120"/>
    </row>
    <row r="76" spans="2:11" ht="26.4" x14ac:dyDescent="0.3">
      <c r="B76" s="59">
        <v>77</v>
      </c>
      <c r="C76" s="60" t="s">
        <v>88</v>
      </c>
      <c r="D76" s="60">
        <v>26</v>
      </c>
      <c r="E76" s="60">
        <v>10</v>
      </c>
      <c r="F76" s="61">
        <v>36</v>
      </c>
      <c r="G76" s="61">
        <v>2</v>
      </c>
      <c r="H76" s="61" t="s">
        <v>11</v>
      </c>
      <c r="I76" s="61"/>
      <c r="J76" s="125"/>
      <c r="K76" s="120"/>
    </row>
    <row r="77" spans="2:11" ht="26.4" x14ac:dyDescent="0.3">
      <c r="B77" s="59">
        <v>78</v>
      </c>
      <c r="C77" s="60" t="s">
        <v>89</v>
      </c>
      <c r="D77" s="60">
        <v>37</v>
      </c>
      <c r="E77" s="60">
        <v>7</v>
      </c>
      <c r="F77" s="61">
        <v>44</v>
      </c>
      <c r="G77" s="61">
        <v>0</v>
      </c>
      <c r="H77" s="61" t="s">
        <v>11</v>
      </c>
      <c r="I77" s="61"/>
      <c r="J77" s="125"/>
      <c r="K77" s="120"/>
    </row>
    <row r="78" spans="2:11" ht="26.4" x14ac:dyDescent="0.3">
      <c r="B78" s="59">
        <v>79</v>
      </c>
      <c r="C78" s="60" t="s">
        <v>90</v>
      </c>
      <c r="D78" s="60">
        <v>36</v>
      </c>
      <c r="E78" s="60">
        <v>6</v>
      </c>
      <c r="F78" s="61">
        <v>42</v>
      </c>
      <c r="G78" s="61">
        <v>3</v>
      </c>
      <c r="H78" s="61" t="s">
        <v>11</v>
      </c>
      <c r="I78" s="61"/>
      <c r="J78" s="125"/>
      <c r="K78" s="120"/>
    </row>
    <row r="79" spans="2:11" ht="26.4" x14ac:dyDescent="0.3">
      <c r="B79" s="59">
        <v>80</v>
      </c>
      <c r="C79" s="60" t="s">
        <v>91</v>
      </c>
      <c r="D79" s="60">
        <v>32</v>
      </c>
      <c r="E79" s="60">
        <v>0</v>
      </c>
      <c r="F79" s="61">
        <v>32</v>
      </c>
      <c r="G79" s="61">
        <v>2</v>
      </c>
      <c r="H79" s="61" t="s">
        <v>11</v>
      </c>
      <c r="I79" s="61"/>
      <c r="J79" s="125"/>
      <c r="K79" s="120"/>
    </row>
    <row r="80" spans="2:11" ht="26.4" x14ac:dyDescent="0.3">
      <c r="B80" s="59">
        <v>81</v>
      </c>
      <c r="C80" s="60" t="s">
        <v>92</v>
      </c>
      <c r="D80" s="60">
        <v>29</v>
      </c>
      <c r="E80" s="60">
        <v>2</v>
      </c>
      <c r="F80" s="61">
        <v>31</v>
      </c>
      <c r="G80" s="61">
        <v>2</v>
      </c>
      <c r="H80" s="61" t="s">
        <v>11</v>
      </c>
      <c r="I80" s="61"/>
      <c r="J80" s="125"/>
      <c r="K80" s="120"/>
    </row>
    <row r="81" spans="2:11" ht="26.4" x14ac:dyDescent="0.3">
      <c r="B81" s="59">
        <v>83</v>
      </c>
      <c r="C81" s="60" t="s">
        <v>93</v>
      </c>
      <c r="D81" s="60">
        <v>25</v>
      </c>
      <c r="E81" s="60">
        <v>6</v>
      </c>
      <c r="F81" s="61">
        <v>31</v>
      </c>
      <c r="G81" s="61">
        <v>2</v>
      </c>
      <c r="H81" s="61" t="s">
        <v>11</v>
      </c>
      <c r="I81" s="61"/>
      <c r="J81" s="125"/>
      <c r="K81" s="120"/>
    </row>
    <row r="82" spans="2:11" ht="26.4" x14ac:dyDescent="0.3">
      <c r="B82" s="59">
        <v>84</v>
      </c>
      <c r="C82" s="60" t="s">
        <v>94</v>
      </c>
      <c r="D82" s="60">
        <v>21</v>
      </c>
      <c r="E82" s="60">
        <v>8</v>
      </c>
      <c r="F82" s="61">
        <v>29</v>
      </c>
      <c r="G82" s="61">
        <v>1</v>
      </c>
      <c r="H82" s="61" t="s">
        <v>23</v>
      </c>
      <c r="I82" s="61"/>
      <c r="J82" s="125"/>
      <c r="K82" s="120"/>
    </row>
    <row r="83" spans="2:11" ht="26.4" x14ac:dyDescent="0.3">
      <c r="B83" s="59">
        <v>85</v>
      </c>
      <c r="C83" s="60" t="s">
        <v>95</v>
      </c>
      <c r="D83" s="60">
        <v>27</v>
      </c>
      <c r="E83" s="60">
        <v>2</v>
      </c>
      <c r="F83" s="61">
        <v>29</v>
      </c>
      <c r="G83" s="61">
        <v>1</v>
      </c>
      <c r="H83" s="61" t="s">
        <v>23</v>
      </c>
      <c r="I83" s="61"/>
      <c r="J83" s="125"/>
      <c r="K83" s="120"/>
    </row>
    <row r="84" spans="2:11" x14ac:dyDescent="0.3">
      <c r="B84" s="59">
        <v>86</v>
      </c>
      <c r="C84" s="60" t="s">
        <v>96</v>
      </c>
      <c r="D84" s="60">
        <v>20</v>
      </c>
      <c r="E84" s="60">
        <v>1</v>
      </c>
      <c r="F84" s="61">
        <v>21</v>
      </c>
      <c r="G84" s="61">
        <v>1</v>
      </c>
      <c r="H84" s="61" t="s">
        <v>23</v>
      </c>
      <c r="I84" s="61"/>
      <c r="J84" s="125"/>
      <c r="K84" s="120"/>
    </row>
    <row r="85" spans="2:11" ht="26.4" x14ac:dyDescent="0.3">
      <c r="B85" s="59">
        <v>87</v>
      </c>
      <c r="C85" s="60" t="s">
        <v>97</v>
      </c>
      <c r="D85" s="60">
        <v>65</v>
      </c>
      <c r="E85" s="60">
        <v>5</v>
      </c>
      <c r="F85" s="61">
        <v>70</v>
      </c>
      <c r="G85" s="61">
        <v>3</v>
      </c>
      <c r="H85" s="61" t="s">
        <v>35</v>
      </c>
      <c r="I85" s="61"/>
      <c r="J85" s="125"/>
      <c r="K85" s="120"/>
    </row>
    <row r="86" spans="2:11" x14ac:dyDescent="0.3">
      <c r="B86" s="59">
        <v>88</v>
      </c>
      <c r="C86" s="60" t="s">
        <v>98</v>
      </c>
      <c r="D86" s="60">
        <v>21</v>
      </c>
      <c r="E86" s="60">
        <v>2</v>
      </c>
      <c r="F86" s="61">
        <v>23</v>
      </c>
      <c r="G86" s="61">
        <v>1</v>
      </c>
      <c r="H86" s="61" t="s">
        <v>23</v>
      </c>
      <c r="I86" s="61"/>
      <c r="J86" s="125"/>
      <c r="K86" s="120"/>
    </row>
    <row r="87" spans="2:11" ht="26.4" x14ac:dyDescent="0.3">
      <c r="B87" s="59">
        <v>89</v>
      </c>
      <c r="C87" s="60" t="s">
        <v>99</v>
      </c>
      <c r="D87" s="60">
        <v>16</v>
      </c>
      <c r="E87" s="60">
        <v>1</v>
      </c>
      <c r="F87" s="61">
        <v>17</v>
      </c>
      <c r="G87" s="61">
        <v>0</v>
      </c>
      <c r="H87" s="61" t="s">
        <v>23</v>
      </c>
      <c r="I87" s="61"/>
      <c r="J87" s="125"/>
      <c r="K87" s="120"/>
    </row>
    <row r="88" spans="2:11" x14ac:dyDescent="0.3">
      <c r="B88" s="59">
        <v>90</v>
      </c>
      <c r="C88" s="60" t="s">
        <v>100</v>
      </c>
      <c r="D88" s="60">
        <v>33</v>
      </c>
      <c r="E88" s="60">
        <v>3</v>
      </c>
      <c r="F88" s="61">
        <v>36</v>
      </c>
      <c r="G88" s="61">
        <v>0</v>
      </c>
      <c r="H88" s="61" t="s">
        <v>23</v>
      </c>
      <c r="I88" s="61"/>
      <c r="J88" s="125"/>
      <c r="K88" s="120"/>
    </row>
    <row r="89" spans="2:11" ht="26.4" x14ac:dyDescent="0.3">
      <c r="B89" s="59">
        <v>91</v>
      </c>
      <c r="C89" s="60" t="s">
        <v>101</v>
      </c>
      <c r="D89" s="60">
        <v>28</v>
      </c>
      <c r="E89" s="60">
        <v>3</v>
      </c>
      <c r="F89" s="61">
        <v>31</v>
      </c>
      <c r="G89" s="61">
        <v>0</v>
      </c>
      <c r="H89" s="61" t="s">
        <v>23</v>
      </c>
      <c r="I89" s="61"/>
      <c r="J89" s="125"/>
      <c r="K89" s="120"/>
    </row>
    <row r="90" spans="2:11" x14ac:dyDescent="0.3">
      <c r="B90" s="59">
        <v>92</v>
      </c>
      <c r="C90" s="60" t="s">
        <v>102</v>
      </c>
      <c r="D90" s="60">
        <v>12</v>
      </c>
      <c r="E90" s="60">
        <v>2</v>
      </c>
      <c r="F90" s="61">
        <v>14</v>
      </c>
      <c r="G90" s="61">
        <v>1</v>
      </c>
      <c r="H90" s="61" t="s">
        <v>35</v>
      </c>
      <c r="I90" s="61"/>
      <c r="J90" s="125"/>
      <c r="K90" s="120"/>
    </row>
    <row r="91" spans="2:11" x14ac:dyDescent="0.3">
      <c r="B91" s="59">
        <v>93</v>
      </c>
      <c r="C91" s="60" t="s">
        <v>103</v>
      </c>
      <c r="D91" s="60">
        <v>21</v>
      </c>
      <c r="E91" s="60">
        <v>3</v>
      </c>
      <c r="F91" s="61">
        <v>24</v>
      </c>
      <c r="G91" s="61">
        <v>1</v>
      </c>
      <c r="H91" s="61" t="s">
        <v>35</v>
      </c>
      <c r="I91" s="61"/>
      <c r="J91" s="125"/>
      <c r="K91" s="120"/>
    </row>
    <row r="92" spans="2:11" x14ac:dyDescent="0.3">
      <c r="B92" s="59">
        <v>94</v>
      </c>
      <c r="C92" s="60" t="s">
        <v>104</v>
      </c>
      <c r="D92" s="60">
        <v>3</v>
      </c>
      <c r="E92" s="60"/>
      <c r="F92" s="61">
        <v>3</v>
      </c>
      <c r="G92" s="61">
        <v>1</v>
      </c>
      <c r="H92" s="61" t="s">
        <v>105</v>
      </c>
      <c r="I92" s="61"/>
      <c r="J92" s="125"/>
      <c r="K92" s="120"/>
    </row>
    <row r="93" spans="2:11" ht="26.4" x14ac:dyDescent="0.3">
      <c r="B93" s="59">
        <v>95</v>
      </c>
      <c r="C93" s="60" t="s">
        <v>106</v>
      </c>
      <c r="D93" s="60">
        <v>28</v>
      </c>
      <c r="E93" s="60">
        <v>0</v>
      </c>
      <c r="F93" s="61">
        <v>28</v>
      </c>
      <c r="G93" s="61">
        <v>2</v>
      </c>
      <c r="H93" s="61" t="s">
        <v>11</v>
      </c>
      <c r="I93" s="61"/>
      <c r="J93" s="125"/>
      <c r="K93" s="120"/>
    </row>
    <row r="94" spans="2:11" ht="26.4" x14ac:dyDescent="0.3">
      <c r="B94" s="59">
        <v>96</v>
      </c>
      <c r="C94" s="60" t="s">
        <v>107</v>
      </c>
      <c r="D94" s="60">
        <v>36</v>
      </c>
      <c r="E94" s="60">
        <v>0</v>
      </c>
      <c r="F94" s="61">
        <v>36</v>
      </c>
      <c r="G94" s="61">
        <v>2</v>
      </c>
      <c r="H94" s="61" t="s">
        <v>11</v>
      </c>
      <c r="I94" s="61"/>
      <c r="J94" s="126"/>
      <c r="K94" s="121"/>
    </row>
    <row r="95" spans="2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2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10">
    <mergeCell ref="J10:J33"/>
    <mergeCell ref="J67:J94"/>
    <mergeCell ref="K10:K33"/>
    <mergeCell ref="B2:C2"/>
    <mergeCell ref="B1:K1"/>
    <mergeCell ref="J4:J9"/>
    <mergeCell ref="J34:J66"/>
    <mergeCell ref="K34:K66"/>
    <mergeCell ref="K67:K94"/>
    <mergeCell ref="K4:K9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9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36" customWidth="1"/>
    <col min="4" max="4" width="20" customWidth="1"/>
    <col min="5" max="5" width="10" customWidth="1"/>
    <col min="6" max="6" width="9" customWidth="1"/>
    <col min="7" max="7" width="8" customWidth="1"/>
    <col min="8" max="8" width="9" customWidth="1"/>
    <col min="9" max="9" width="16" customWidth="1"/>
    <col min="10" max="11" width="12" customWidth="1"/>
    <col min="12" max="13" width="26" customWidth="1"/>
    <col min="14" max="14" width="40" customWidth="1"/>
  </cols>
  <sheetData>
    <row r="1" spans="1:14" x14ac:dyDescent="0.3">
      <c r="A1" s="111" t="s">
        <v>309</v>
      </c>
      <c r="B1" s="111" t="s">
        <v>310</v>
      </c>
      <c r="C1" s="111" t="s">
        <v>1</v>
      </c>
      <c r="D1" s="111" t="s">
        <v>311</v>
      </c>
      <c r="E1" s="111" t="s">
        <v>312</v>
      </c>
      <c r="F1" s="111" t="s">
        <v>3</v>
      </c>
      <c r="G1" s="111" t="s">
        <v>313</v>
      </c>
      <c r="H1" s="111" t="s">
        <v>109</v>
      </c>
      <c r="I1" s="111" t="s">
        <v>6</v>
      </c>
      <c r="J1" s="111" t="s">
        <v>314</v>
      </c>
      <c r="K1" s="111" t="s">
        <v>315</v>
      </c>
      <c r="L1" s="111" t="s">
        <v>316</v>
      </c>
      <c r="M1" s="111" t="s">
        <v>317</v>
      </c>
      <c r="N1" s="111" t="s">
        <v>318</v>
      </c>
    </row>
    <row r="2" spans="1:14" x14ac:dyDescent="0.3">
      <c r="A2">
        <v>1</v>
      </c>
      <c r="B2">
        <v>258447</v>
      </c>
      <c r="C2" t="s">
        <v>319</v>
      </c>
      <c r="D2" t="s">
        <v>320</v>
      </c>
      <c r="E2">
        <v>57</v>
      </c>
      <c r="F2">
        <v>6</v>
      </c>
      <c r="G2">
        <v>3</v>
      </c>
      <c r="H2">
        <v>66</v>
      </c>
      <c r="I2" t="s">
        <v>11</v>
      </c>
      <c r="J2" s="112">
        <v>46282</v>
      </c>
      <c r="K2" s="112">
        <v>46289</v>
      </c>
      <c r="L2" t="s">
        <v>321</v>
      </c>
      <c r="M2" t="s">
        <v>322</v>
      </c>
    </row>
    <row r="3" spans="1:14" x14ac:dyDescent="0.3">
      <c r="A3">
        <v>2</v>
      </c>
      <c r="B3">
        <v>255833</v>
      </c>
      <c r="C3" t="s">
        <v>323</v>
      </c>
      <c r="D3" t="s">
        <v>324</v>
      </c>
      <c r="E3">
        <v>19</v>
      </c>
      <c r="F3">
        <v>4</v>
      </c>
      <c r="G3">
        <v>2</v>
      </c>
      <c r="H3">
        <v>25</v>
      </c>
      <c r="I3" t="s">
        <v>23</v>
      </c>
      <c r="J3" s="112">
        <v>46345</v>
      </c>
      <c r="K3" s="112">
        <v>46352</v>
      </c>
      <c r="L3" t="s">
        <v>321</v>
      </c>
      <c r="M3" t="s">
        <v>325</v>
      </c>
    </row>
    <row r="4" spans="1:14" x14ac:dyDescent="0.3">
      <c r="A4">
        <v>3</v>
      </c>
      <c r="B4">
        <v>254434</v>
      </c>
      <c r="C4" t="s">
        <v>326</v>
      </c>
      <c r="D4" t="s">
        <v>327</v>
      </c>
      <c r="E4">
        <v>16</v>
      </c>
      <c r="F4">
        <v>4</v>
      </c>
      <c r="G4">
        <v>1</v>
      </c>
      <c r="H4">
        <v>21</v>
      </c>
      <c r="I4" t="s">
        <v>11</v>
      </c>
      <c r="J4" s="112">
        <v>46350</v>
      </c>
      <c r="K4" s="112">
        <v>46357</v>
      </c>
      <c r="L4" t="s">
        <v>321</v>
      </c>
      <c r="M4" t="s">
        <v>328</v>
      </c>
    </row>
    <row r="5" spans="1:14" x14ac:dyDescent="0.3">
      <c r="A5">
        <v>4</v>
      </c>
      <c r="B5">
        <v>255077</v>
      </c>
      <c r="C5" t="s">
        <v>329</v>
      </c>
      <c r="D5" t="s">
        <v>330</v>
      </c>
      <c r="E5">
        <v>29</v>
      </c>
      <c r="F5">
        <v>4</v>
      </c>
      <c r="G5">
        <v>2</v>
      </c>
      <c r="H5">
        <v>35</v>
      </c>
      <c r="I5" t="s">
        <v>11</v>
      </c>
      <c r="J5" s="112">
        <v>46350</v>
      </c>
      <c r="K5" s="112">
        <v>46357</v>
      </c>
      <c r="L5" t="s">
        <v>321</v>
      </c>
      <c r="M5" t="s">
        <v>331</v>
      </c>
    </row>
    <row r="6" spans="1:14" x14ac:dyDescent="0.3">
      <c r="A6">
        <v>5</v>
      </c>
      <c r="B6">
        <v>255480</v>
      </c>
      <c r="C6" t="s">
        <v>329</v>
      </c>
      <c r="D6" t="s">
        <v>332</v>
      </c>
      <c r="E6">
        <v>30</v>
      </c>
      <c r="F6">
        <v>4</v>
      </c>
      <c r="G6">
        <v>2</v>
      </c>
      <c r="H6">
        <v>36</v>
      </c>
      <c r="I6" t="s">
        <v>11</v>
      </c>
      <c r="J6" s="112">
        <v>46350</v>
      </c>
      <c r="K6" s="112">
        <v>46357</v>
      </c>
      <c r="L6" t="s">
        <v>321</v>
      </c>
      <c r="M6" t="s">
        <v>331</v>
      </c>
    </row>
    <row r="7" spans="1:14" x14ac:dyDescent="0.3">
      <c r="A7">
        <v>6</v>
      </c>
      <c r="B7">
        <v>255624</v>
      </c>
      <c r="C7" t="s">
        <v>333</v>
      </c>
      <c r="D7" t="s">
        <v>334</v>
      </c>
      <c r="E7">
        <v>126</v>
      </c>
      <c r="F7">
        <v>17</v>
      </c>
      <c r="G7">
        <v>7</v>
      </c>
      <c r="H7">
        <v>150</v>
      </c>
      <c r="I7" t="s">
        <v>11</v>
      </c>
      <c r="J7" s="112">
        <v>46350</v>
      </c>
      <c r="K7" s="112">
        <v>46357</v>
      </c>
      <c r="L7" t="s">
        <v>321</v>
      </c>
      <c r="M7" t="s">
        <v>328</v>
      </c>
    </row>
    <row r="8" spans="1:14" x14ac:dyDescent="0.3">
      <c r="A8">
        <v>7</v>
      </c>
      <c r="B8">
        <v>256194</v>
      </c>
      <c r="C8" t="s">
        <v>335</v>
      </c>
      <c r="D8" t="s">
        <v>336</v>
      </c>
      <c r="E8">
        <v>39</v>
      </c>
      <c r="F8">
        <v>0</v>
      </c>
      <c r="G8">
        <v>3</v>
      </c>
      <c r="H8">
        <v>42</v>
      </c>
      <c r="I8" t="s">
        <v>11</v>
      </c>
      <c r="J8" s="112">
        <v>46350</v>
      </c>
      <c r="K8" s="112">
        <v>46357</v>
      </c>
      <c r="L8" t="s">
        <v>321</v>
      </c>
      <c r="M8" t="s">
        <v>328</v>
      </c>
    </row>
    <row r="9" spans="1:14" x14ac:dyDescent="0.3">
      <c r="A9">
        <v>8</v>
      </c>
      <c r="B9">
        <v>259337</v>
      </c>
      <c r="C9" t="s">
        <v>337</v>
      </c>
      <c r="D9" t="s">
        <v>338</v>
      </c>
      <c r="E9">
        <v>35</v>
      </c>
      <c r="F9">
        <v>3</v>
      </c>
      <c r="G9">
        <v>2</v>
      </c>
      <c r="H9">
        <v>40</v>
      </c>
      <c r="I9" t="s">
        <v>11</v>
      </c>
      <c r="J9" s="112">
        <v>46350</v>
      </c>
      <c r="K9" s="112">
        <v>46357</v>
      </c>
      <c r="L9" t="s">
        <v>321</v>
      </c>
      <c r="M9" t="s">
        <v>331</v>
      </c>
    </row>
    <row r="10" spans="1:14" x14ac:dyDescent="0.3">
      <c r="A10">
        <v>9</v>
      </c>
      <c r="B10">
        <v>250681</v>
      </c>
      <c r="C10" t="s">
        <v>339</v>
      </c>
      <c r="D10" t="s">
        <v>340</v>
      </c>
      <c r="E10">
        <v>30</v>
      </c>
      <c r="F10">
        <v>3</v>
      </c>
      <c r="G10">
        <v>2</v>
      </c>
      <c r="H10">
        <v>35</v>
      </c>
      <c r="I10" t="s">
        <v>11</v>
      </c>
      <c r="J10" s="112">
        <v>46357</v>
      </c>
      <c r="K10" s="112">
        <v>46364</v>
      </c>
      <c r="L10" t="s">
        <v>321</v>
      </c>
      <c r="M10" t="s">
        <v>341</v>
      </c>
    </row>
    <row r="11" spans="1:14" x14ac:dyDescent="0.3">
      <c r="A11">
        <v>10</v>
      </c>
      <c r="B11">
        <v>252260</v>
      </c>
      <c r="C11" t="s">
        <v>342</v>
      </c>
      <c r="D11" t="s">
        <v>343</v>
      </c>
      <c r="E11">
        <v>24</v>
      </c>
      <c r="F11">
        <v>2</v>
      </c>
      <c r="G11">
        <v>2</v>
      </c>
      <c r="H11">
        <v>28</v>
      </c>
      <c r="I11" t="s">
        <v>11</v>
      </c>
      <c r="J11" s="112">
        <v>46357</v>
      </c>
      <c r="K11" s="112">
        <v>46364</v>
      </c>
      <c r="L11" t="s">
        <v>321</v>
      </c>
      <c r="M11" t="s">
        <v>344</v>
      </c>
    </row>
    <row r="12" spans="1:14" x14ac:dyDescent="0.3">
      <c r="A12">
        <v>11</v>
      </c>
      <c r="B12">
        <v>254206</v>
      </c>
      <c r="C12" t="s">
        <v>345</v>
      </c>
      <c r="D12" t="s">
        <v>346</v>
      </c>
      <c r="E12">
        <v>20</v>
      </c>
      <c r="F12">
        <v>2</v>
      </c>
      <c r="G12">
        <v>1</v>
      </c>
      <c r="H12">
        <v>23</v>
      </c>
      <c r="I12" t="s">
        <v>11</v>
      </c>
      <c r="J12" s="112">
        <v>46357</v>
      </c>
      <c r="K12" s="112">
        <v>46364</v>
      </c>
      <c r="L12" t="s">
        <v>321</v>
      </c>
      <c r="M12" t="s">
        <v>344</v>
      </c>
    </row>
    <row r="13" spans="1:14" x14ac:dyDescent="0.3">
      <c r="A13">
        <v>12</v>
      </c>
      <c r="B13">
        <v>254475</v>
      </c>
      <c r="C13" t="s">
        <v>347</v>
      </c>
      <c r="D13" t="s">
        <v>348</v>
      </c>
      <c r="E13">
        <v>27</v>
      </c>
      <c r="F13">
        <v>0</v>
      </c>
      <c r="G13">
        <v>1</v>
      </c>
      <c r="H13">
        <v>28</v>
      </c>
      <c r="I13" t="s">
        <v>11</v>
      </c>
      <c r="J13" s="112">
        <v>46357</v>
      </c>
      <c r="K13" s="112">
        <v>46364</v>
      </c>
      <c r="L13" t="s">
        <v>321</v>
      </c>
      <c r="M13" t="s">
        <v>349</v>
      </c>
    </row>
    <row r="14" spans="1:14" x14ac:dyDescent="0.3">
      <c r="A14">
        <v>13</v>
      </c>
      <c r="B14">
        <v>254660</v>
      </c>
      <c r="C14" t="s">
        <v>350</v>
      </c>
      <c r="D14" t="s">
        <v>351</v>
      </c>
      <c r="E14">
        <v>79</v>
      </c>
      <c r="F14">
        <v>0</v>
      </c>
      <c r="G14">
        <v>4</v>
      </c>
      <c r="H14">
        <v>83</v>
      </c>
      <c r="I14" t="s">
        <v>11</v>
      </c>
      <c r="J14" s="112">
        <v>46357</v>
      </c>
      <c r="K14" s="112">
        <v>46364</v>
      </c>
      <c r="L14" t="s">
        <v>321</v>
      </c>
      <c r="M14" t="s">
        <v>349</v>
      </c>
    </row>
    <row r="15" spans="1:14" x14ac:dyDescent="0.3">
      <c r="A15">
        <v>14</v>
      </c>
      <c r="B15">
        <v>254857</v>
      </c>
      <c r="C15" t="s">
        <v>339</v>
      </c>
      <c r="D15" t="s">
        <v>352</v>
      </c>
      <c r="E15">
        <v>24</v>
      </c>
      <c r="F15">
        <v>4</v>
      </c>
      <c r="G15">
        <v>0</v>
      </c>
      <c r="H15">
        <v>28</v>
      </c>
      <c r="I15" t="s">
        <v>11</v>
      </c>
      <c r="J15" s="112">
        <v>46357</v>
      </c>
      <c r="K15" s="112">
        <v>46364</v>
      </c>
      <c r="L15" t="s">
        <v>321</v>
      </c>
      <c r="M15" t="s">
        <v>341</v>
      </c>
    </row>
    <row r="16" spans="1:14" x14ac:dyDescent="0.3">
      <c r="A16">
        <v>15</v>
      </c>
      <c r="B16">
        <v>255152</v>
      </c>
      <c r="C16" t="s">
        <v>353</v>
      </c>
      <c r="D16" t="s">
        <v>354</v>
      </c>
      <c r="E16">
        <v>35</v>
      </c>
      <c r="F16">
        <v>7</v>
      </c>
      <c r="G16">
        <v>3</v>
      </c>
      <c r="H16">
        <v>45</v>
      </c>
      <c r="I16" t="s">
        <v>11</v>
      </c>
      <c r="J16" s="112">
        <v>46357</v>
      </c>
      <c r="K16" s="112">
        <v>46364</v>
      </c>
      <c r="L16" t="s">
        <v>321</v>
      </c>
      <c r="M16" t="s">
        <v>344</v>
      </c>
    </row>
    <row r="17" spans="1:14" x14ac:dyDescent="0.3">
      <c r="A17">
        <v>16</v>
      </c>
      <c r="B17">
        <v>255184</v>
      </c>
      <c r="C17" t="s">
        <v>355</v>
      </c>
      <c r="D17" t="s">
        <v>356</v>
      </c>
      <c r="E17">
        <v>24</v>
      </c>
      <c r="F17">
        <v>2</v>
      </c>
      <c r="G17">
        <v>0</v>
      </c>
      <c r="H17">
        <v>26</v>
      </c>
      <c r="I17" t="s">
        <v>23</v>
      </c>
      <c r="J17" s="112">
        <v>46357</v>
      </c>
      <c r="K17" s="112">
        <v>46364</v>
      </c>
      <c r="L17" t="s">
        <v>321</v>
      </c>
      <c r="M17" t="s">
        <v>341</v>
      </c>
    </row>
    <row r="18" spans="1:14" x14ac:dyDescent="0.3">
      <c r="A18">
        <v>17</v>
      </c>
      <c r="B18">
        <v>255352</v>
      </c>
      <c r="C18" t="s">
        <v>357</v>
      </c>
      <c r="D18" t="s">
        <v>324</v>
      </c>
      <c r="E18">
        <v>31</v>
      </c>
      <c r="F18">
        <v>7</v>
      </c>
      <c r="G18">
        <v>0</v>
      </c>
      <c r="H18">
        <v>38</v>
      </c>
      <c r="I18" t="s">
        <v>11</v>
      </c>
      <c r="J18" s="112">
        <v>46357</v>
      </c>
      <c r="K18" s="112">
        <v>46364</v>
      </c>
      <c r="L18" t="s">
        <v>321</v>
      </c>
      <c r="M18" t="s">
        <v>341</v>
      </c>
    </row>
    <row r="19" spans="1:14" x14ac:dyDescent="0.3">
      <c r="A19">
        <v>18</v>
      </c>
      <c r="B19">
        <v>255391</v>
      </c>
      <c r="C19" t="s">
        <v>358</v>
      </c>
      <c r="D19" t="s">
        <v>359</v>
      </c>
      <c r="E19">
        <v>29</v>
      </c>
      <c r="F19">
        <v>3</v>
      </c>
      <c r="G19">
        <v>1</v>
      </c>
      <c r="H19">
        <v>33</v>
      </c>
      <c r="I19" t="s">
        <v>11</v>
      </c>
      <c r="J19" s="112">
        <v>46357</v>
      </c>
      <c r="K19" s="112">
        <v>46364</v>
      </c>
      <c r="L19" t="s">
        <v>321</v>
      </c>
      <c r="M19" t="s">
        <v>344</v>
      </c>
    </row>
    <row r="20" spans="1:14" x14ac:dyDescent="0.3">
      <c r="A20">
        <v>19</v>
      </c>
      <c r="B20">
        <v>255433</v>
      </c>
      <c r="C20" t="s">
        <v>360</v>
      </c>
      <c r="D20" t="s">
        <v>361</v>
      </c>
      <c r="E20">
        <v>33</v>
      </c>
      <c r="F20">
        <v>0</v>
      </c>
      <c r="G20">
        <v>0</v>
      </c>
      <c r="H20">
        <v>33</v>
      </c>
      <c r="I20" t="s">
        <v>11</v>
      </c>
      <c r="J20" s="112">
        <v>46371</v>
      </c>
      <c r="K20" s="112">
        <v>46378</v>
      </c>
      <c r="L20" t="s">
        <v>321</v>
      </c>
      <c r="M20" t="s">
        <v>362</v>
      </c>
    </row>
    <row r="21" spans="1:14" x14ac:dyDescent="0.3">
      <c r="A21">
        <v>20</v>
      </c>
      <c r="B21">
        <v>255470</v>
      </c>
      <c r="C21" t="s">
        <v>363</v>
      </c>
      <c r="D21" t="s">
        <v>364</v>
      </c>
      <c r="E21">
        <v>20</v>
      </c>
      <c r="F21">
        <v>0</v>
      </c>
      <c r="G21">
        <v>1</v>
      </c>
      <c r="H21">
        <v>21</v>
      </c>
      <c r="I21" t="s">
        <v>11</v>
      </c>
      <c r="J21" s="112">
        <v>46357</v>
      </c>
      <c r="K21" s="112">
        <v>46364</v>
      </c>
      <c r="L21" t="s">
        <v>321</v>
      </c>
      <c r="M21" t="s">
        <v>349</v>
      </c>
    </row>
    <row r="22" spans="1:14" x14ac:dyDescent="0.3">
      <c r="A22">
        <v>21</v>
      </c>
      <c r="B22">
        <v>255544</v>
      </c>
      <c r="C22" t="s">
        <v>365</v>
      </c>
      <c r="D22" t="s">
        <v>366</v>
      </c>
      <c r="E22">
        <v>25</v>
      </c>
      <c r="F22">
        <v>0</v>
      </c>
      <c r="G22">
        <v>2</v>
      </c>
      <c r="H22">
        <v>27</v>
      </c>
      <c r="I22" t="s">
        <v>11</v>
      </c>
      <c r="J22" s="112">
        <v>46357</v>
      </c>
      <c r="K22" s="112">
        <v>46364</v>
      </c>
      <c r="L22" t="s">
        <v>321</v>
      </c>
      <c r="M22" t="s">
        <v>367</v>
      </c>
    </row>
    <row r="23" spans="1:14" x14ac:dyDescent="0.3">
      <c r="A23">
        <v>22</v>
      </c>
      <c r="B23">
        <v>255580</v>
      </c>
      <c r="C23" t="s">
        <v>368</v>
      </c>
      <c r="D23" t="s">
        <v>369</v>
      </c>
      <c r="E23">
        <v>75</v>
      </c>
      <c r="F23">
        <v>0</v>
      </c>
      <c r="G23">
        <v>4</v>
      </c>
      <c r="H23">
        <v>79</v>
      </c>
      <c r="I23" t="s">
        <v>11</v>
      </c>
      <c r="J23" s="112">
        <v>46357</v>
      </c>
      <c r="K23" s="112">
        <v>46364</v>
      </c>
      <c r="L23" t="s">
        <v>321</v>
      </c>
      <c r="M23" t="s">
        <v>367</v>
      </c>
    </row>
    <row r="24" spans="1:14" x14ac:dyDescent="0.3">
      <c r="A24">
        <v>23</v>
      </c>
      <c r="B24">
        <v>255638</v>
      </c>
      <c r="C24" t="s">
        <v>370</v>
      </c>
      <c r="D24" t="s">
        <v>371</v>
      </c>
      <c r="E24">
        <v>24</v>
      </c>
      <c r="F24">
        <v>2</v>
      </c>
      <c r="G24">
        <v>0</v>
      </c>
      <c r="H24">
        <v>26</v>
      </c>
      <c r="I24" t="s">
        <v>23</v>
      </c>
      <c r="J24" s="112">
        <v>46357</v>
      </c>
      <c r="K24" s="112">
        <v>46364</v>
      </c>
      <c r="L24" t="s">
        <v>321</v>
      </c>
      <c r="M24" t="s">
        <v>341</v>
      </c>
    </row>
    <row r="25" spans="1:14" x14ac:dyDescent="0.3">
      <c r="A25">
        <v>24</v>
      </c>
      <c r="B25">
        <v>256297</v>
      </c>
      <c r="C25" t="s">
        <v>372</v>
      </c>
      <c r="D25" t="s">
        <v>373</v>
      </c>
      <c r="E25">
        <v>27</v>
      </c>
      <c r="F25">
        <v>4</v>
      </c>
      <c r="G25">
        <v>2</v>
      </c>
      <c r="H25">
        <v>33</v>
      </c>
      <c r="I25" t="s">
        <v>23</v>
      </c>
      <c r="J25" s="112">
        <v>46357</v>
      </c>
      <c r="K25" s="112">
        <v>46364</v>
      </c>
      <c r="L25" t="s">
        <v>321</v>
      </c>
      <c r="M25" t="s">
        <v>344</v>
      </c>
      <c r="N25" t="s">
        <v>374</v>
      </c>
    </row>
    <row r="26" spans="1:14" x14ac:dyDescent="0.3">
      <c r="A26">
        <v>25</v>
      </c>
      <c r="B26">
        <v>257096</v>
      </c>
      <c r="C26" t="s">
        <v>375</v>
      </c>
      <c r="D26" t="s">
        <v>376</v>
      </c>
      <c r="E26">
        <v>19</v>
      </c>
      <c r="F26">
        <v>4</v>
      </c>
      <c r="G26">
        <v>1</v>
      </c>
      <c r="H26">
        <v>24</v>
      </c>
      <c r="I26" t="s">
        <v>23</v>
      </c>
      <c r="J26" s="112">
        <v>46357</v>
      </c>
      <c r="K26" s="112">
        <v>46364</v>
      </c>
      <c r="L26" t="s">
        <v>321</v>
      </c>
      <c r="M26" t="s">
        <v>367</v>
      </c>
    </row>
    <row r="27" spans="1:14" x14ac:dyDescent="0.3">
      <c r="A27">
        <v>26</v>
      </c>
      <c r="B27">
        <v>257140</v>
      </c>
      <c r="C27" t="s">
        <v>377</v>
      </c>
      <c r="D27" t="s">
        <v>378</v>
      </c>
      <c r="E27">
        <v>9</v>
      </c>
      <c r="F27">
        <v>0</v>
      </c>
      <c r="G27">
        <v>1</v>
      </c>
      <c r="H27">
        <v>10</v>
      </c>
      <c r="I27" t="s">
        <v>13</v>
      </c>
      <c r="J27" s="112">
        <v>46357</v>
      </c>
      <c r="K27" s="112">
        <v>46364</v>
      </c>
      <c r="L27" t="s">
        <v>321</v>
      </c>
      <c r="M27" t="s">
        <v>344</v>
      </c>
    </row>
    <row r="28" spans="1:14" x14ac:dyDescent="0.3">
      <c r="A28">
        <v>27</v>
      </c>
      <c r="B28">
        <v>257543</v>
      </c>
      <c r="C28" t="s">
        <v>379</v>
      </c>
      <c r="D28" t="s">
        <v>380</v>
      </c>
      <c r="E28">
        <v>18</v>
      </c>
      <c r="F28">
        <v>4</v>
      </c>
      <c r="G28">
        <v>2</v>
      </c>
      <c r="H28">
        <v>24</v>
      </c>
      <c r="I28" t="s">
        <v>23</v>
      </c>
      <c r="J28" s="112">
        <v>46357</v>
      </c>
      <c r="K28" s="112">
        <v>46364</v>
      </c>
      <c r="L28" t="s">
        <v>321</v>
      </c>
      <c r="M28" t="s">
        <v>344</v>
      </c>
      <c r="N28" t="s">
        <v>381</v>
      </c>
    </row>
    <row r="29" spans="1:14" x14ac:dyDescent="0.3">
      <c r="A29">
        <v>28</v>
      </c>
      <c r="B29">
        <v>257884</v>
      </c>
      <c r="C29" t="s">
        <v>382</v>
      </c>
      <c r="D29" t="s">
        <v>383</v>
      </c>
      <c r="E29">
        <v>23</v>
      </c>
      <c r="F29">
        <v>4</v>
      </c>
      <c r="G29">
        <v>0</v>
      </c>
      <c r="H29">
        <v>27</v>
      </c>
      <c r="I29" t="s">
        <v>35</v>
      </c>
      <c r="J29" s="112">
        <v>46357</v>
      </c>
      <c r="K29" s="112">
        <v>46364</v>
      </c>
      <c r="L29" t="s">
        <v>321</v>
      </c>
      <c r="M29" t="s">
        <v>341</v>
      </c>
    </row>
    <row r="30" spans="1:14" x14ac:dyDescent="0.3">
      <c r="A30">
        <v>29</v>
      </c>
      <c r="B30">
        <v>258567</v>
      </c>
      <c r="C30" t="s">
        <v>384</v>
      </c>
      <c r="D30" t="s">
        <v>385</v>
      </c>
      <c r="E30">
        <v>46</v>
      </c>
      <c r="F30">
        <v>0</v>
      </c>
      <c r="G30">
        <v>2</v>
      </c>
      <c r="H30">
        <v>48</v>
      </c>
      <c r="I30" t="s">
        <v>37</v>
      </c>
      <c r="J30" s="112">
        <v>46357</v>
      </c>
      <c r="K30" s="112">
        <v>46364</v>
      </c>
      <c r="L30" t="s">
        <v>321</v>
      </c>
      <c r="M30" t="s">
        <v>349</v>
      </c>
    </row>
    <row r="31" spans="1:14" x14ac:dyDescent="0.3">
      <c r="A31">
        <v>30</v>
      </c>
      <c r="B31">
        <v>259626</v>
      </c>
      <c r="C31" t="s">
        <v>386</v>
      </c>
      <c r="D31" t="s">
        <v>356</v>
      </c>
      <c r="E31">
        <v>18</v>
      </c>
      <c r="F31">
        <v>4</v>
      </c>
      <c r="G31">
        <v>0</v>
      </c>
      <c r="H31">
        <v>22</v>
      </c>
      <c r="I31" t="s">
        <v>35</v>
      </c>
      <c r="J31" s="112">
        <v>46357</v>
      </c>
      <c r="K31" s="112">
        <v>46364</v>
      </c>
      <c r="L31" t="s">
        <v>321</v>
      </c>
      <c r="M31" t="s">
        <v>341</v>
      </c>
    </row>
    <row r="32" spans="1:14" x14ac:dyDescent="0.3">
      <c r="A32">
        <v>31</v>
      </c>
      <c r="B32">
        <v>259983</v>
      </c>
      <c r="C32" t="s">
        <v>387</v>
      </c>
      <c r="D32" t="s">
        <v>388</v>
      </c>
      <c r="E32">
        <v>22</v>
      </c>
      <c r="F32">
        <v>0</v>
      </c>
      <c r="G32">
        <v>1</v>
      </c>
      <c r="H32">
        <v>23</v>
      </c>
      <c r="I32" t="s">
        <v>35</v>
      </c>
      <c r="J32" s="112">
        <v>46357</v>
      </c>
      <c r="K32" s="112">
        <v>46364</v>
      </c>
      <c r="L32" t="s">
        <v>321</v>
      </c>
      <c r="M32" t="s">
        <v>367</v>
      </c>
    </row>
    <row r="33" spans="1:13" x14ac:dyDescent="0.3">
      <c r="A33">
        <v>32</v>
      </c>
      <c r="B33">
        <v>259985</v>
      </c>
      <c r="C33" t="s">
        <v>389</v>
      </c>
      <c r="D33" t="s">
        <v>324</v>
      </c>
      <c r="E33">
        <v>24</v>
      </c>
      <c r="F33">
        <v>0</v>
      </c>
      <c r="G33">
        <v>1</v>
      </c>
      <c r="H33">
        <v>25</v>
      </c>
      <c r="I33" t="s">
        <v>35</v>
      </c>
      <c r="J33" s="112">
        <v>46357</v>
      </c>
      <c r="K33" s="112">
        <v>46364</v>
      </c>
      <c r="L33" t="s">
        <v>321</v>
      </c>
      <c r="M33" t="s">
        <v>367</v>
      </c>
    </row>
    <row r="34" spans="1:13" x14ac:dyDescent="0.3">
      <c r="A34">
        <v>33</v>
      </c>
      <c r="B34">
        <v>259986</v>
      </c>
      <c r="C34" t="s">
        <v>390</v>
      </c>
      <c r="D34" t="s">
        <v>391</v>
      </c>
      <c r="E34">
        <v>20</v>
      </c>
      <c r="F34">
        <v>0</v>
      </c>
      <c r="G34">
        <v>1</v>
      </c>
      <c r="H34">
        <v>21</v>
      </c>
      <c r="I34" t="s">
        <v>35</v>
      </c>
      <c r="J34" s="112">
        <v>46357</v>
      </c>
      <c r="K34" s="112">
        <v>46364</v>
      </c>
      <c r="L34" t="s">
        <v>321</v>
      </c>
      <c r="M34" t="s">
        <v>367</v>
      </c>
    </row>
    <row r="35" spans="1:13" x14ac:dyDescent="0.3">
      <c r="A35">
        <v>34</v>
      </c>
      <c r="B35">
        <v>249971</v>
      </c>
      <c r="C35" t="s">
        <v>392</v>
      </c>
      <c r="D35" t="s">
        <v>393</v>
      </c>
      <c r="E35">
        <v>25</v>
      </c>
      <c r="F35">
        <v>6</v>
      </c>
      <c r="G35">
        <v>1</v>
      </c>
      <c r="H35">
        <v>32</v>
      </c>
      <c r="I35" t="s">
        <v>13</v>
      </c>
      <c r="J35" s="112">
        <v>46359</v>
      </c>
      <c r="K35" s="112">
        <v>46364</v>
      </c>
      <c r="L35" t="s">
        <v>394</v>
      </c>
      <c r="M35" t="s">
        <v>395</v>
      </c>
    </row>
    <row r="36" spans="1:13" x14ac:dyDescent="0.3">
      <c r="A36">
        <v>35</v>
      </c>
      <c r="B36">
        <v>251281</v>
      </c>
      <c r="C36" t="s">
        <v>396</v>
      </c>
      <c r="D36" t="s">
        <v>397</v>
      </c>
      <c r="E36">
        <v>26</v>
      </c>
      <c r="F36">
        <v>2</v>
      </c>
      <c r="G36">
        <v>0</v>
      </c>
      <c r="H36">
        <v>28</v>
      </c>
      <c r="I36" t="s">
        <v>11</v>
      </c>
      <c r="J36" s="112">
        <v>46364</v>
      </c>
      <c r="K36" s="112">
        <v>46371</v>
      </c>
      <c r="L36" t="s">
        <v>321</v>
      </c>
      <c r="M36" t="s">
        <v>398</v>
      </c>
    </row>
    <row r="37" spans="1:13" x14ac:dyDescent="0.3">
      <c r="A37">
        <v>36</v>
      </c>
      <c r="B37">
        <v>251762</v>
      </c>
      <c r="C37" t="s">
        <v>399</v>
      </c>
      <c r="D37" t="s">
        <v>400</v>
      </c>
      <c r="E37">
        <v>35</v>
      </c>
      <c r="F37">
        <v>0</v>
      </c>
      <c r="G37">
        <v>2</v>
      </c>
      <c r="H37">
        <v>37</v>
      </c>
      <c r="I37" t="s">
        <v>11</v>
      </c>
      <c r="J37" s="112">
        <v>46364</v>
      </c>
      <c r="K37" s="112">
        <v>46371</v>
      </c>
      <c r="L37" t="s">
        <v>321</v>
      </c>
      <c r="M37" t="s">
        <v>401</v>
      </c>
    </row>
    <row r="38" spans="1:13" x14ac:dyDescent="0.3">
      <c r="A38">
        <v>37</v>
      </c>
      <c r="B38">
        <v>252227</v>
      </c>
      <c r="C38" t="s">
        <v>402</v>
      </c>
      <c r="D38" t="s">
        <v>403</v>
      </c>
      <c r="E38">
        <v>28</v>
      </c>
      <c r="F38">
        <v>2</v>
      </c>
      <c r="G38">
        <v>2</v>
      </c>
      <c r="H38">
        <v>32</v>
      </c>
      <c r="I38" t="s">
        <v>11</v>
      </c>
      <c r="J38" s="112">
        <v>46364</v>
      </c>
      <c r="K38" s="112">
        <v>46371</v>
      </c>
      <c r="L38" t="s">
        <v>321</v>
      </c>
      <c r="M38" t="s">
        <v>401</v>
      </c>
    </row>
    <row r="39" spans="1:13" x14ac:dyDescent="0.3">
      <c r="A39">
        <v>38</v>
      </c>
      <c r="B39">
        <v>252507</v>
      </c>
      <c r="C39" t="s">
        <v>404</v>
      </c>
      <c r="D39" t="s">
        <v>405</v>
      </c>
      <c r="E39">
        <v>39</v>
      </c>
      <c r="F39">
        <v>4</v>
      </c>
      <c r="G39">
        <v>3</v>
      </c>
      <c r="H39">
        <v>46</v>
      </c>
      <c r="I39" t="s">
        <v>13</v>
      </c>
      <c r="J39" s="112">
        <v>46364</v>
      </c>
      <c r="K39" s="112">
        <v>46371</v>
      </c>
      <c r="L39" t="s">
        <v>321</v>
      </c>
      <c r="M39" t="s">
        <v>401</v>
      </c>
    </row>
    <row r="40" spans="1:13" x14ac:dyDescent="0.3">
      <c r="A40">
        <v>39</v>
      </c>
      <c r="B40">
        <v>252761</v>
      </c>
      <c r="C40" t="s">
        <v>406</v>
      </c>
      <c r="D40" t="s">
        <v>407</v>
      </c>
      <c r="E40">
        <v>25</v>
      </c>
      <c r="F40">
        <v>5</v>
      </c>
      <c r="G40">
        <v>0</v>
      </c>
      <c r="H40">
        <v>30</v>
      </c>
      <c r="I40" t="s">
        <v>11</v>
      </c>
      <c r="J40" s="112">
        <v>46364</v>
      </c>
      <c r="K40" s="112">
        <v>46371</v>
      </c>
      <c r="L40" t="s">
        <v>321</v>
      </c>
      <c r="M40" t="s">
        <v>408</v>
      </c>
    </row>
    <row r="41" spans="1:13" x14ac:dyDescent="0.3">
      <c r="A41">
        <v>40</v>
      </c>
      <c r="B41">
        <v>252765</v>
      </c>
      <c r="C41" t="s">
        <v>409</v>
      </c>
      <c r="D41" t="s">
        <v>410</v>
      </c>
      <c r="E41">
        <v>34</v>
      </c>
      <c r="F41">
        <v>3</v>
      </c>
      <c r="G41">
        <v>1</v>
      </c>
      <c r="H41">
        <v>38</v>
      </c>
      <c r="I41" t="s">
        <v>23</v>
      </c>
      <c r="J41" s="112">
        <v>46364</v>
      </c>
      <c r="K41" s="112">
        <v>46369</v>
      </c>
      <c r="M41" t="s">
        <v>411</v>
      </c>
    </row>
    <row r="42" spans="1:13" x14ac:dyDescent="0.3">
      <c r="A42">
        <v>41</v>
      </c>
      <c r="B42">
        <v>252816</v>
      </c>
      <c r="C42" t="s">
        <v>412</v>
      </c>
      <c r="D42" t="s">
        <v>397</v>
      </c>
      <c r="E42">
        <v>30</v>
      </c>
      <c r="F42">
        <v>5</v>
      </c>
      <c r="G42">
        <v>0</v>
      </c>
      <c r="H42">
        <v>35</v>
      </c>
      <c r="I42" t="s">
        <v>11</v>
      </c>
      <c r="J42" s="112">
        <v>46364</v>
      </c>
      <c r="K42" s="112">
        <v>46371</v>
      </c>
      <c r="L42" t="s">
        <v>321</v>
      </c>
      <c r="M42" t="s">
        <v>408</v>
      </c>
    </row>
    <row r="43" spans="1:13" x14ac:dyDescent="0.3">
      <c r="A43">
        <v>42</v>
      </c>
      <c r="B43">
        <v>252881</v>
      </c>
      <c r="C43" t="s">
        <v>409</v>
      </c>
      <c r="D43" t="s">
        <v>413</v>
      </c>
      <c r="E43">
        <v>29</v>
      </c>
      <c r="F43">
        <v>3</v>
      </c>
      <c r="G43">
        <v>1</v>
      </c>
      <c r="H43">
        <v>33</v>
      </c>
      <c r="I43" t="s">
        <v>23</v>
      </c>
      <c r="J43" s="112">
        <v>46364</v>
      </c>
      <c r="K43" s="112">
        <v>46369</v>
      </c>
      <c r="M43" t="s">
        <v>411</v>
      </c>
    </row>
    <row r="44" spans="1:13" x14ac:dyDescent="0.3">
      <c r="A44">
        <v>43</v>
      </c>
      <c r="B44">
        <v>253332</v>
      </c>
      <c r="C44" t="s">
        <v>406</v>
      </c>
      <c r="D44" t="s">
        <v>414</v>
      </c>
      <c r="E44">
        <v>27</v>
      </c>
      <c r="F44">
        <v>2</v>
      </c>
      <c r="G44">
        <v>1</v>
      </c>
      <c r="H44">
        <v>30</v>
      </c>
      <c r="I44" t="s">
        <v>11</v>
      </c>
      <c r="J44" s="112">
        <v>46364</v>
      </c>
      <c r="K44" s="112">
        <v>46371</v>
      </c>
      <c r="L44" t="s">
        <v>321</v>
      </c>
      <c r="M44" t="s">
        <v>408</v>
      </c>
    </row>
    <row r="45" spans="1:13" x14ac:dyDescent="0.3">
      <c r="A45">
        <v>44</v>
      </c>
      <c r="B45">
        <v>253990</v>
      </c>
      <c r="C45" t="s">
        <v>412</v>
      </c>
      <c r="D45" t="s">
        <v>324</v>
      </c>
      <c r="E45">
        <v>25</v>
      </c>
      <c r="F45">
        <v>4</v>
      </c>
      <c r="G45">
        <v>0</v>
      </c>
      <c r="H45">
        <v>29</v>
      </c>
      <c r="I45" t="s">
        <v>11</v>
      </c>
      <c r="J45" s="112">
        <v>46364</v>
      </c>
      <c r="K45" s="112">
        <v>46371</v>
      </c>
      <c r="L45" t="s">
        <v>321</v>
      </c>
      <c r="M45" t="s">
        <v>408</v>
      </c>
    </row>
    <row r="46" spans="1:13" x14ac:dyDescent="0.3">
      <c r="A46">
        <v>45</v>
      </c>
      <c r="B46">
        <v>254552</v>
      </c>
      <c r="C46" t="s">
        <v>347</v>
      </c>
      <c r="D46" t="s">
        <v>327</v>
      </c>
      <c r="E46">
        <v>26</v>
      </c>
      <c r="F46">
        <v>0</v>
      </c>
      <c r="G46">
        <v>2</v>
      </c>
      <c r="H46">
        <v>28</v>
      </c>
      <c r="I46" t="s">
        <v>11</v>
      </c>
      <c r="J46" s="112">
        <v>46364</v>
      </c>
      <c r="K46" s="112">
        <v>46371</v>
      </c>
      <c r="L46" t="s">
        <v>321</v>
      </c>
      <c r="M46" t="s">
        <v>401</v>
      </c>
    </row>
    <row r="47" spans="1:13" x14ac:dyDescent="0.3">
      <c r="A47">
        <v>46</v>
      </c>
      <c r="B47">
        <v>254776</v>
      </c>
      <c r="C47" t="s">
        <v>415</v>
      </c>
      <c r="D47" t="s">
        <v>416</v>
      </c>
      <c r="E47">
        <v>23</v>
      </c>
      <c r="F47">
        <v>8</v>
      </c>
      <c r="G47">
        <v>2</v>
      </c>
      <c r="H47">
        <v>33</v>
      </c>
      <c r="I47" t="s">
        <v>11</v>
      </c>
      <c r="J47" s="112">
        <v>46364</v>
      </c>
      <c r="K47" s="112">
        <v>46371</v>
      </c>
      <c r="L47" t="s">
        <v>321</v>
      </c>
      <c r="M47" t="s">
        <v>417</v>
      </c>
    </row>
    <row r="48" spans="1:13" x14ac:dyDescent="0.3">
      <c r="A48">
        <v>47</v>
      </c>
      <c r="B48">
        <v>254784</v>
      </c>
      <c r="C48" t="s">
        <v>396</v>
      </c>
      <c r="D48" t="s">
        <v>418</v>
      </c>
      <c r="E48">
        <v>25</v>
      </c>
      <c r="F48">
        <v>3</v>
      </c>
      <c r="G48">
        <v>0</v>
      </c>
      <c r="H48">
        <v>28</v>
      </c>
      <c r="I48" t="s">
        <v>11</v>
      </c>
      <c r="J48" s="112">
        <v>46364</v>
      </c>
      <c r="K48" s="112">
        <v>46371</v>
      </c>
      <c r="L48" t="s">
        <v>321</v>
      </c>
      <c r="M48" t="s">
        <v>398</v>
      </c>
    </row>
    <row r="49" spans="1:13" x14ac:dyDescent="0.3">
      <c r="A49">
        <v>48</v>
      </c>
      <c r="B49">
        <v>254930</v>
      </c>
      <c r="C49" t="s">
        <v>360</v>
      </c>
      <c r="D49" t="s">
        <v>419</v>
      </c>
      <c r="E49">
        <v>35</v>
      </c>
      <c r="F49">
        <v>3</v>
      </c>
      <c r="G49">
        <v>2</v>
      </c>
      <c r="H49">
        <v>40</v>
      </c>
      <c r="I49" t="s">
        <v>11</v>
      </c>
      <c r="J49" s="112">
        <v>46364</v>
      </c>
      <c r="K49" s="112">
        <v>46371</v>
      </c>
      <c r="L49" t="s">
        <v>321</v>
      </c>
      <c r="M49" t="s">
        <v>417</v>
      </c>
    </row>
    <row r="50" spans="1:13" x14ac:dyDescent="0.3">
      <c r="A50">
        <v>49</v>
      </c>
      <c r="B50">
        <v>254980</v>
      </c>
      <c r="C50" t="s">
        <v>420</v>
      </c>
      <c r="D50" t="s">
        <v>421</v>
      </c>
      <c r="E50">
        <v>15</v>
      </c>
      <c r="F50">
        <v>3</v>
      </c>
      <c r="G50">
        <v>1</v>
      </c>
      <c r="H50">
        <v>19</v>
      </c>
      <c r="I50" t="s">
        <v>11</v>
      </c>
      <c r="J50" s="112">
        <v>46364</v>
      </c>
      <c r="K50" s="112">
        <v>46371</v>
      </c>
      <c r="L50" t="s">
        <v>321</v>
      </c>
      <c r="M50" t="s">
        <v>422</v>
      </c>
    </row>
    <row r="51" spans="1:13" x14ac:dyDescent="0.3">
      <c r="A51">
        <v>50</v>
      </c>
      <c r="B51">
        <v>255030</v>
      </c>
      <c r="C51" t="s">
        <v>423</v>
      </c>
      <c r="D51" t="s">
        <v>424</v>
      </c>
      <c r="E51">
        <v>39</v>
      </c>
      <c r="F51">
        <v>4</v>
      </c>
      <c r="G51">
        <v>0</v>
      </c>
      <c r="H51">
        <v>43</v>
      </c>
      <c r="I51" t="s">
        <v>11</v>
      </c>
      <c r="J51" s="112">
        <v>46364</v>
      </c>
      <c r="K51" s="112">
        <v>46371</v>
      </c>
      <c r="L51" t="s">
        <v>321</v>
      </c>
      <c r="M51" t="s">
        <v>408</v>
      </c>
    </row>
    <row r="52" spans="1:13" x14ac:dyDescent="0.3">
      <c r="A52">
        <v>51</v>
      </c>
      <c r="B52">
        <v>255111</v>
      </c>
      <c r="C52" t="s">
        <v>425</v>
      </c>
      <c r="D52" t="s">
        <v>426</v>
      </c>
      <c r="E52">
        <v>23</v>
      </c>
      <c r="F52">
        <v>1</v>
      </c>
      <c r="G52">
        <v>1</v>
      </c>
      <c r="H52">
        <v>25</v>
      </c>
      <c r="I52" t="s">
        <v>11</v>
      </c>
      <c r="J52" s="112">
        <v>46364</v>
      </c>
      <c r="K52" s="112">
        <v>46371</v>
      </c>
      <c r="L52" t="s">
        <v>321</v>
      </c>
      <c r="M52" t="s">
        <v>422</v>
      </c>
    </row>
    <row r="53" spans="1:13" x14ac:dyDescent="0.3">
      <c r="A53">
        <v>52</v>
      </c>
      <c r="B53">
        <v>255177</v>
      </c>
      <c r="C53" t="s">
        <v>427</v>
      </c>
      <c r="D53" t="s">
        <v>378</v>
      </c>
      <c r="E53">
        <v>23</v>
      </c>
      <c r="F53">
        <v>3</v>
      </c>
      <c r="G53">
        <v>1</v>
      </c>
      <c r="H53">
        <v>27</v>
      </c>
      <c r="I53" t="s">
        <v>11</v>
      </c>
      <c r="J53" s="112">
        <v>46364</v>
      </c>
      <c r="K53" s="112">
        <v>46371</v>
      </c>
      <c r="L53" t="s">
        <v>321</v>
      </c>
      <c r="M53" t="s">
        <v>417</v>
      </c>
    </row>
    <row r="54" spans="1:13" x14ac:dyDescent="0.3">
      <c r="A54">
        <v>53</v>
      </c>
      <c r="B54">
        <v>255179</v>
      </c>
      <c r="C54" t="s">
        <v>427</v>
      </c>
      <c r="D54" t="s">
        <v>346</v>
      </c>
      <c r="E54">
        <v>28</v>
      </c>
      <c r="F54">
        <v>2</v>
      </c>
      <c r="G54">
        <v>2</v>
      </c>
      <c r="H54">
        <v>32</v>
      </c>
      <c r="I54" t="s">
        <v>11</v>
      </c>
      <c r="J54" s="112">
        <v>46364</v>
      </c>
      <c r="K54" s="112">
        <v>46371</v>
      </c>
      <c r="L54" t="s">
        <v>321</v>
      </c>
      <c r="M54" t="s">
        <v>417</v>
      </c>
    </row>
    <row r="55" spans="1:13" x14ac:dyDescent="0.3">
      <c r="A55">
        <v>54</v>
      </c>
      <c r="B55">
        <v>255239</v>
      </c>
      <c r="C55" t="s">
        <v>428</v>
      </c>
      <c r="D55" t="s">
        <v>429</v>
      </c>
      <c r="E55">
        <v>10</v>
      </c>
      <c r="F55">
        <v>1</v>
      </c>
      <c r="G55">
        <v>1</v>
      </c>
      <c r="H55">
        <v>12</v>
      </c>
      <c r="I55" t="s">
        <v>11</v>
      </c>
      <c r="J55" s="112">
        <v>46364</v>
      </c>
      <c r="K55" s="112">
        <v>46371</v>
      </c>
      <c r="L55" t="s">
        <v>321</v>
      </c>
      <c r="M55" t="s">
        <v>422</v>
      </c>
    </row>
    <row r="56" spans="1:13" x14ac:dyDescent="0.3">
      <c r="A56">
        <v>55</v>
      </c>
      <c r="B56">
        <v>255301</v>
      </c>
      <c r="C56" t="s">
        <v>430</v>
      </c>
      <c r="D56" t="s">
        <v>346</v>
      </c>
      <c r="E56">
        <v>26</v>
      </c>
      <c r="F56">
        <v>3</v>
      </c>
      <c r="G56">
        <v>2</v>
      </c>
      <c r="H56">
        <v>31</v>
      </c>
      <c r="I56" t="s">
        <v>13</v>
      </c>
      <c r="J56" s="112">
        <v>46371</v>
      </c>
      <c r="K56" s="112">
        <v>46378</v>
      </c>
      <c r="L56" t="s">
        <v>321</v>
      </c>
      <c r="M56" t="s">
        <v>431</v>
      </c>
    </row>
    <row r="57" spans="1:13" x14ac:dyDescent="0.3">
      <c r="A57">
        <v>56</v>
      </c>
      <c r="B57">
        <v>255364</v>
      </c>
      <c r="C57" t="s">
        <v>399</v>
      </c>
      <c r="D57" t="s">
        <v>366</v>
      </c>
      <c r="E57">
        <v>21</v>
      </c>
      <c r="F57">
        <v>0</v>
      </c>
      <c r="G57">
        <v>1</v>
      </c>
      <c r="H57">
        <v>22</v>
      </c>
      <c r="I57" t="s">
        <v>11</v>
      </c>
      <c r="J57" s="112">
        <v>46364</v>
      </c>
      <c r="K57" s="112">
        <v>46371</v>
      </c>
      <c r="L57" t="s">
        <v>321</v>
      </c>
      <c r="M57" t="s">
        <v>422</v>
      </c>
    </row>
    <row r="58" spans="1:13" x14ac:dyDescent="0.3">
      <c r="A58">
        <v>57</v>
      </c>
      <c r="B58">
        <v>255834</v>
      </c>
      <c r="C58" t="s">
        <v>432</v>
      </c>
      <c r="D58" t="s">
        <v>433</v>
      </c>
      <c r="E58">
        <v>27</v>
      </c>
      <c r="F58">
        <v>3</v>
      </c>
      <c r="G58">
        <v>2</v>
      </c>
      <c r="H58">
        <v>32</v>
      </c>
      <c r="I58" t="s">
        <v>23</v>
      </c>
      <c r="J58" s="112">
        <v>46364</v>
      </c>
      <c r="K58" s="112">
        <v>46371</v>
      </c>
      <c r="L58" t="s">
        <v>321</v>
      </c>
      <c r="M58" t="s">
        <v>422</v>
      </c>
    </row>
    <row r="59" spans="1:13" x14ac:dyDescent="0.3">
      <c r="A59">
        <v>58</v>
      </c>
      <c r="B59">
        <v>255920</v>
      </c>
      <c r="C59" t="s">
        <v>434</v>
      </c>
      <c r="D59" t="s">
        <v>435</v>
      </c>
      <c r="E59">
        <v>35</v>
      </c>
      <c r="F59">
        <v>4</v>
      </c>
      <c r="G59">
        <v>2</v>
      </c>
      <c r="H59">
        <v>41</v>
      </c>
      <c r="I59" t="s">
        <v>23</v>
      </c>
      <c r="J59" s="112">
        <v>46364</v>
      </c>
      <c r="K59" s="112">
        <v>46371</v>
      </c>
      <c r="L59" t="s">
        <v>321</v>
      </c>
      <c r="M59" t="s">
        <v>401</v>
      </c>
    </row>
    <row r="60" spans="1:13" x14ac:dyDescent="0.3">
      <c r="A60">
        <v>59</v>
      </c>
      <c r="B60">
        <v>256129</v>
      </c>
      <c r="C60" t="s">
        <v>436</v>
      </c>
      <c r="D60" t="s">
        <v>383</v>
      </c>
      <c r="E60">
        <v>35</v>
      </c>
      <c r="F60">
        <v>2</v>
      </c>
      <c r="G60">
        <v>0</v>
      </c>
      <c r="H60">
        <v>37</v>
      </c>
      <c r="I60" t="s">
        <v>35</v>
      </c>
      <c r="J60" s="112">
        <v>46364</v>
      </c>
      <c r="K60" s="112">
        <v>46371</v>
      </c>
      <c r="L60" t="s">
        <v>321</v>
      </c>
      <c r="M60" t="s">
        <v>398</v>
      </c>
    </row>
    <row r="61" spans="1:13" x14ac:dyDescent="0.3">
      <c r="A61">
        <v>60</v>
      </c>
      <c r="B61">
        <v>256235</v>
      </c>
      <c r="C61" t="s">
        <v>437</v>
      </c>
      <c r="D61" t="s">
        <v>421</v>
      </c>
      <c r="E61">
        <v>30</v>
      </c>
      <c r="F61">
        <v>4</v>
      </c>
      <c r="G61">
        <v>2</v>
      </c>
      <c r="H61">
        <v>36</v>
      </c>
      <c r="I61" t="s">
        <v>23</v>
      </c>
      <c r="J61" s="112">
        <v>46364</v>
      </c>
      <c r="K61" s="112">
        <v>46371</v>
      </c>
      <c r="L61" t="s">
        <v>321</v>
      </c>
      <c r="M61" t="s">
        <v>422</v>
      </c>
    </row>
    <row r="62" spans="1:13" x14ac:dyDescent="0.3">
      <c r="A62">
        <v>61</v>
      </c>
      <c r="B62">
        <v>256295</v>
      </c>
      <c r="C62" t="s">
        <v>438</v>
      </c>
      <c r="D62" t="s">
        <v>426</v>
      </c>
      <c r="E62">
        <v>26</v>
      </c>
      <c r="F62">
        <v>4</v>
      </c>
      <c r="G62">
        <v>1</v>
      </c>
      <c r="H62">
        <v>31</v>
      </c>
      <c r="I62" t="s">
        <v>35</v>
      </c>
      <c r="J62" s="112">
        <v>46364</v>
      </c>
      <c r="K62" s="112">
        <v>46371</v>
      </c>
      <c r="L62" t="s">
        <v>321</v>
      </c>
      <c r="M62" t="s">
        <v>417</v>
      </c>
    </row>
    <row r="63" spans="1:13" x14ac:dyDescent="0.3">
      <c r="A63">
        <v>62</v>
      </c>
      <c r="B63">
        <v>256479</v>
      </c>
      <c r="C63" t="s">
        <v>439</v>
      </c>
      <c r="D63" t="s">
        <v>440</v>
      </c>
      <c r="E63">
        <v>28</v>
      </c>
      <c r="F63">
        <v>0</v>
      </c>
      <c r="G63">
        <v>2</v>
      </c>
      <c r="H63">
        <v>30</v>
      </c>
      <c r="I63" t="s">
        <v>35</v>
      </c>
      <c r="J63" s="112">
        <v>46364</v>
      </c>
      <c r="K63" s="112">
        <v>46371</v>
      </c>
      <c r="L63" t="s">
        <v>321</v>
      </c>
      <c r="M63" t="s">
        <v>398</v>
      </c>
    </row>
    <row r="64" spans="1:13" x14ac:dyDescent="0.3">
      <c r="A64">
        <v>63</v>
      </c>
      <c r="B64">
        <v>256481</v>
      </c>
      <c r="C64" t="s">
        <v>439</v>
      </c>
      <c r="D64" t="s">
        <v>441</v>
      </c>
      <c r="E64">
        <v>26</v>
      </c>
      <c r="F64">
        <v>3</v>
      </c>
      <c r="G64">
        <v>2</v>
      </c>
      <c r="H64">
        <v>31</v>
      </c>
      <c r="I64" t="s">
        <v>35</v>
      </c>
      <c r="J64" s="112">
        <v>46364</v>
      </c>
      <c r="K64" s="112">
        <v>46371</v>
      </c>
      <c r="L64" t="s">
        <v>321</v>
      </c>
      <c r="M64" t="s">
        <v>398</v>
      </c>
    </row>
    <row r="65" spans="1:14" x14ac:dyDescent="0.3">
      <c r="A65">
        <v>64</v>
      </c>
      <c r="B65">
        <v>256482</v>
      </c>
      <c r="C65" t="s">
        <v>442</v>
      </c>
      <c r="D65" t="s">
        <v>416</v>
      </c>
      <c r="E65">
        <v>22</v>
      </c>
      <c r="F65">
        <v>1</v>
      </c>
      <c r="G65">
        <v>1</v>
      </c>
      <c r="H65">
        <v>24</v>
      </c>
      <c r="I65" t="s">
        <v>23</v>
      </c>
      <c r="J65" s="112">
        <v>46364</v>
      </c>
      <c r="K65" s="112">
        <v>46371</v>
      </c>
      <c r="L65" t="s">
        <v>321</v>
      </c>
      <c r="M65" t="s">
        <v>417</v>
      </c>
      <c r="N65" t="s">
        <v>443</v>
      </c>
    </row>
    <row r="66" spans="1:14" x14ac:dyDescent="0.3">
      <c r="A66">
        <v>65</v>
      </c>
      <c r="B66">
        <v>256492</v>
      </c>
      <c r="C66" t="s">
        <v>438</v>
      </c>
      <c r="D66" t="s">
        <v>348</v>
      </c>
      <c r="E66">
        <v>26</v>
      </c>
      <c r="F66">
        <v>2</v>
      </c>
      <c r="G66">
        <v>1</v>
      </c>
      <c r="H66">
        <v>29</v>
      </c>
      <c r="I66" t="s">
        <v>23</v>
      </c>
      <c r="J66" s="112">
        <v>46364</v>
      </c>
      <c r="K66" s="112">
        <v>46371</v>
      </c>
      <c r="L66" t="s">
        <v>321</v>
      </c>
      <c r="M66" t="s">
        <v>417</v>
      </c>
    </row>
    <row r="67" spans="1:14" x14ac:dyDescent="0.3">
      <c r="A67">
        <v>66</v>
      </c>
      <c r="B67">
        <v>256571</v>
      </c>
      <c r="C67" t="s">
        <v>444</v>
      </c>
      <c r="D67" t="s">
        <v>445</v>
      </c>
      <c r="E67">
        <v>32</v>
      </c>
      <c r="F67">
        <v>4</v>
      </c>
      <c r="G67">
        <v>2</v>
      </c>
      <c r="H67">
        <v>38</v>
      </c>
      <c r="I67" t="s">
        <v>23</v>
      </c>
      <c r="J67" s="112">
        <v>46364</v>
      </c>
      <c r="K67" s="112">
        <v>46371</v>
      </c>
      <c r="L67" t="s">
        <v>321</v>
      </c>
      <c r="M67" t="s">
        <v>422</v>
      </c>
    </row>
    <row r="68" spans="1:14" x14ac:dyDescent="0.3">
      <c r="A68">
        <v>67</v>
      </c>
      <c r="B68">
        <v>257649</v>
      </c>
      <c r="C68" t="s">
        <v>446</v>
      </c>
      <c r="D68" t="s">
        <v>447</v>
      </c>
      <c r="E68">
        <v>19</v>
      </c>
      <c r="F68">
        <v>3</v>
      </c>
      <c r="G68">
        <v>0</v>
      </c>
      <c r="H68">
        <v>22</v>
      </c>
      <c r="I68" t="s">
        <v>23</v>
      </c>
      <c r="J68" s="112">
        <v>46364</v>
      </c>
      <c r="K68" s="112">
        <v>46371</v>
      </c>
      <c r="L68" t="s">
        <v>321</v>
      </c>
      <c r="M68" t="s">
        <v>408</v>
      </c>
    </row>
    <row r="69" spans="1:14" x14ac:dyDescent="0.3">
      <c r="A69">
        <v>68</v>
      </c>
      <c r="B69">
        <v>257980</v>
      </c>
      <c r="C69" t="s">
        <v>448</v>
      </c>
      <c r="D69" t="s">
        <v>449</v>
      </c>
      <c r="E69">
        <v>26</v>
      </c>
      <c r="F69">
        <v>4</v>
      </c>
      <c r="G69">
        <v>0</v>
      </c>
      <c r="H69">
        <v>30</v>
      </c>
      <c r="I69" t="s">
        <v>13</v>
      </c>
      <c r="J69" s="112">
        <v>46364</v>
      </c>
      <c r="K69" s="112">
        <v>46371</v>
      </c>
      <c r="L69" t="s">
        <v>321</v>
      </c>
      <c r="M69" t="s">
        <v>398</v>
      </c>
    </row>
    <row r="70" spans="1:14" x14ac:dyDescent="0.3">
      <c r="A70">
        <v>69</v>
      </c>
      <c r="B70">
        <v>259800</v>
      </c>
      <c r="C70" t="s">
        <v>333</v>
      </c>
      <c r="D70" t="s">
        <v>400</v>
      </c>
      <c r="E70">
        <v>27</v>
      </c>
      <c r="F70">
        <v>1</v>
      </c>
      <c r="G70">
        <v>2</v>
      </c>
      <c r="H70">
        <v>30</v>
      </c>
      <c r="I70" t="s">
        <v>35</v>
      </c>
      <c r="J70" s="112">
        <v>46364</v>
      </c>
      <c r="K70" s="112">
        <v>46371</v>
      </c>
      <c r="L70" t="s">
        <v>321</v>
      </c>
      <c r="M70" t="s">
        <v>422</v>
      </c>
    </row>
    <row r="71" spans="1:14" x14ac:dyDescent="0.3">
      <c r="A71">
        <v>70</v>
      </c>
      <c r="B71">
        <v>254179</v>
      </c>
      <c r="C71" t="s">
        <v>450</v>
      </c>
      <c r="D71" t="s">
        <v>429</v>
      </c>
      <c r="E71">
        <v>27</v>
      </c>
      <c r="F71">
        <v>3</v>
      </c>
      <c r="G71">
        <v>2</v>
      </c>
      <c r="H71">
        <v>32</v>
      </c>
      <c r="I71" t="s">
        <v>11</v>
      </c>
      <c r="J71" s="112">
        <v>46371</v>
      </c>
      <c r="K71" s="112">
        <v>46378</v>
      </c>
      <c r="L71" t="s">
        <v>321</v>
      </c>
      <c r="M71" t="s">
        <v>451</v>
      </c>
    </row>
    <row r="72" spans="1:14" x14ac:dyDescent="0.3">
      <c r="A72">
        <v>71</v>
      </c>
      <c r="B72">
        <v>254430</v>
      </c>
      <c r="C72" t="s">
        <v>452</v>
      </c>
      <c r="D72" t="s">
        <v>453</v>
      </c>
      <c r="E72">
        <v>26</v>
      </c>
      <c r="F72">
        <v>8</v>
      </c>
      <c r="G72">
        <v>1</v>
      </c>
      <c r="H72">
        <v>35</v>
      </c>
      <c r="I72" t="s">
        <v>11</v>
      </c>
      <c r="J72" s="112">
        <v>46371</v>
      </c>
      <c r="K72" s="112">
        <v>46378</v>
      </c>
      <c r="L72" t="s">
        <v>321</v>
      </c>
      <c r="M72" t="s">
        <v>454</v>
      </c>
    </row>
    <row r="73" spans="1:14" x14ac:dyDescent="0.3">
      <c r="A73">
        <v>72</v>
      </c>
      <c r="B73">
        <v>254624</v>
      </c>
      <c r="C73" t="s">
        <v>455</v>
      </c>
      <c r="D73" t="s">
        <v>456</v>
      </c>
      <c r="E73">
        <v>15</v>
      </c>
      <c r="F73">
        <v>1</v>
      </c>
      <c r="G73">
        <v>1</v>
      </c>
      <c r="H73">
        <v>17</v>
      </c>
      <c r="I73" t="s">
        <v>13</v>
      </c>
      <c r="J73" s="112">
        <v>46371</v>
      </c>
      <c r="K73" s="112">
        <v>46378</v>
      </c>
      <c r="L73" t="s">
        <v>321</v>
      </c>
      <c r="M73" t="s">
        <v>457</v>
      </c>
    </row>
    <row r="74" spans="1:14" x14ac:dyDescent="0.3">
      <c r="A74">
        <v>73</v>
      </c>
      <c r="B74">
        <v>254722</v>
      </c>
      <c r="C74" t="s">
        <v>399</v>
      </c>
      <c r="D74" t="s">
        <v>426</v>
      </c>
      <c r="E74">
        <v>36</v>
      </c>
      <c r="F74">
        <v>0</v>
      </c>
      <c r="G74">
        <v>2</v>
      </c>
      <c r="H74">
        <v>38</v>
      </c>
      <c r="I74" t="s">
        <v>11</v>
      </c>
      <c r="J74" s="112">
        <v>46371</v>
      </c>
      <c r="K74" s="112">
        <v>46378</v>
      </c>
      <c r="L74" t="s">
        <v>321</v>
      </c>
      <c r="M74" t="s">
        <v>458</v>
      </c>
    </row>
    <row r="75" spans="1:14" x14ac:dyDescent="0.3">
      <c r="A75">
        <v>74</v>
      </c>
      <c r="B75">
        <v>254854</v>
      </c>
      <c r="C75" t="s">
        <v>459</v>
      </c>
      <c r="D75" t="s">
        <v>460</v>
      </c>
      <c r="E75">
        <v>19</v>
      </c>
      <c r="F75">
        <v>3</v>
      </c>
      <c r="G75">
        <v>0</v>
      </c>
      <c r="H75">
        <v>22</v>
      </c>
      <c r="I75" t="s">
        <v>11</v>
      </c>
      <c r="J75" s="112">
        <v>46371</v>
      </c>
      <c r="K75" s="112">
        <v>46378</v>
      </c>
      <c r="L75" t="s">
        <v>321</v>
      </c>
      <c r="M75" t="s">
        <v>362</v>
      </c>
    </row>
    <row r="76" spans="1:14" x14ac:dyDescent="0.3">
      <c r="A76">
        <v>75</v>
      </c>
      <c r="B76">
        <v>254856</v>
      </c>
      <c r="C76" t="s">
        <v>461</v>
      </c>
      <c r="D76" t="s">
        <v>462</v>
      </c>
      <c r="E76">
        <v>37</v>
      </c>
      <c r="F76">
        <v>9</v>
      </c>
      <c r="G76">
        <v>0</v>
      </c>
      <c r="H76">
        <v>46</v>
      </c>
      <c r="I76" t="s">
        <v>11</v>
      </c>
      <c r="J76" s="112">
        <v>46371</v>
      </c>
      <c r="K76" s="112">
        <v>46378</v>
      </c>
      <c r="L76" t="s">
        <v>321</v>
      </c>
      <c r="M76" t="s">
        <v>362</v>
      </c>
    </row>
    <row r="77" spans="1:14" x14ac:dyDescent="0.3">
      <c r="A77">
        <v>76</v>
      </c>
      <c r="B77">
        <v>254894</v>
      </c>
      <c r="C77" t="s">
        <v>463</v>
      </c>
      <c r="D77" t="s">
        <v>405</v>
      </c>
      <c r="E77">
        <v>30</v>
      </c>
      <c r="F77">
        <v>6</v>
      </c>
      <c r="G77">
        <v>2</v>
      </c>
      <c r="H77">
        <v>38</v>
      </c>
      <c r="I77" t="s">
        <v>11</v>
      </c>
      <c r="J77" s="112">
        <v>46371</v>
      </c>
      <c r="K77" s="112">
        <v>46378</v>
      </c>
      <c r="L77" t="s">
        <v>321</v>
      </c>
      <c r="M77" t="s">
        <v>451</v>
      </c>
    </row>
    <row r="78" spans="1:14" x14ac:dyDescent="0.3">
      <c r="A78">
        <v>77</v>
      </c>
      <c r="B78">
        <v>254923</v>
      </c>
      <c r="C78" t="s">
        <v>464</v>
      </c>
      <c r="D78" t="s">
        <v>429</v>
      </c>
      <c r="E78">
        <v>26</v>
      </c>
      <c r="F78">
        <v>10</v>
      </c>
      <c r="G78">
        <v>2</v>
      </c>
      <c r="H78">
        <v>38</v>
      </c>
      <c r="I78" t="s">
        <v>11</v>
      </c>
      <c r="J78" s="112">
        <v>46371</v>
      </c>
      <c r="K78" s="112">
        <v>46378</v>
      </c>
      <c r="L78" t="s">
        <v>321</v>
      </c>
      <c r="M78" t="s">
        <v>451</v>
      </c>
    </row>
    <row r="79" spans="1:14" x14ac:dyDescent="0.3">
      <c r="A79">
        <v>78</v>
      </c>
      <c r="B79">
        <v>255063</v>
      </c>
      <c r="C79" t="s">
        <v>465</v>
      </c>
      <c r="D79" t="s">
        <v>466</v>
      </c>
      <c r="E79">
        <v>37</v>
      </c>
      <c r="F79">
        <v>7</v>
      </c>
      <c r="G79">
        <v>0</v>
      </c>
      <c r="H79">
        <v>44</v>
      </c>
      <c r="I79" t="s">
        <v>11</v>
      </c>
      <c r="J79" s="112">
        <v>46371</v>
      </c>
      <c r="K79" s="112">
        <v>46378</v>
      </c>
      <c r="L79" t="s">
        <v>321</v>
      </c>
      <c r="M79" t="s">
        <v>362</v>
      </c>
    </row>
    <row r="80" spans="1:14" x14ac:dyDescent="0.3">
      <c r="A80">
        <v>79</v>
      </c>
      <c r="B80">
        <v>255100</v>
      </c>
      <c r="C80" t="s">
        <v>467</v>
      </c>
      <c r="D80" t="s">
        <v>421</v>
      </c>
      <c r="E80">
        <v>36</v>
      </c>
      <c r="F80">
        <v>6</v>
      </c>
      <c r="G80">
        <v>3</v>
      </c>
      <c r="H80">
        <v>45</v>
      </c>
      <c r="I80" t="s">
        <v>11</v>
      </c>
      <c r="J80" s="112">
        <v>46371</v>
      </c>
      <c r="K80" s="112">
        <v>46378</v>
      </c>
      <c r="L80" t="s">
        <v>321</v>
      </c>
      <c r="M80" t="s">
        <v>451</v>
      </c>
    </row>
    <row r="81" spans="1:13" x14ac:dyDescent="0.3">
      <c r="A81">
        <v>80</v>
      </c>
      <c r="B81">
        <v>255178</v>
      </c>
      <c r="C81" t="s">
        <v>468</v>
      </c>
      <c r="D81" t="s">
        <v>348</v>
      </c>
      <c r="E81">
        <v>32</v>
      </c>
      <c r="F81">
        <v>0</v>
      </c>
      <c r="G81">
        <v>2</v>
      </c>
      <c r="H81">
        <v>34</v>
      </c>
      <c r="I81" t="s">
        <v>11</v>
      </c>
      <c r="J81" s="112">
        <v>46371</v>
      </c>
      <c r="K81" s="112">
        <v>46378</v>
      </c>
      <c r="L81" t="s">
        <v>321</v>
      </c>
      <c r="M81" t="s">
        <v>458</v>
      </c>
    </row>
    <row r="82" spans="1:13" x14ac:dyDescent="0.3">
      <c r="A82">
        <v>81</v>
      </c>
      <c r="B82">
        <v>255232</v>
      </c>
      <c r="C82" t="s">
        <v>469</v>
      </c>
      <c r="D82" t="s">
        <v>380</v>
      </c>
      <c r="E82">
        <v>29</v>
      </c>
      <c r="F82">
        <v>2</v>
      </c>
      <c r="G82">
        <v>2</v>
      </c>
      <c r="H82">
        <v>33</v>
      </c>
      <c r="I82" t="s">
        <v>11</v>
      </c>
      <c r="J82" s="112">
        <v>46371</v>
      </c>
      <c r="K82" s="112">
        <v>46378</v>
      </c>
      <c r="L82" t="s">
        <v>321</v>
      </c>
      <c r="M82" t="s">
        <v>451</v>
      </c>
    </row>
    <row r="83" spans="1:13" x14ac:dyDescent="0.3">
      <c r="A83">
        <v>82</v>
      </c>
      <c r="B83">
        <v>255434</v>
      </c>
      <c r="C83" t="s">
        <v>360</v>
      </c>
      <c r="D83" t="s">
        <v>429</v>
      </c>
      <c r="E83">
        <v>26</v>
      </c>
      <c r="F83">
        <v>3</v>
      </c>
      <c r="G83">
        <v>0</v>
      </c>
      <c r="H83">
        <v>29</v>
      </c>
      <c r="I83" t="s">
        <v>11</v>
      </c>
      <c r="J83" s="112">
        <v>46364</v>
      </c>
      <c r="K83" s="112">
        <v>46371</v>
      </c>
      <c r="L83" t="s">
        <v>321</v>
      </c>
      <c r="M83" t="s">
        <v>401</v>
      </c>
    </row>
    <row r="84" spans="1:13" x14ac:dyDescent="0.3">
      <c r="A84">
        <v>83</v>
      </c>
      <c r="B84">
        <v>255534</v>
      </c>
      <c r="C84" t="s">
        <v>470</v>
      </c>
      <c r="D84" t="s">
        <v>471</v>
      </c>
      <c r="E84">
        <v>25</v>
      </c>
      <c r="F84">
        <v>6</v>
      </c>
      <c r="G84">
        <v>2</v>
      </c>
      <c r="H84">
        <v>33</v>
      </c>
      <c r="I84" t="s">
        <v>11</v>
      </c>
      <c r="J84" s="112">
        <v>46371</v>
      </c>
      <c r="K84" s="112">
        <v>46378</v>
      </c>
      <c r="L84" t="s">
        <v>321</v>
      </c>
      <c r="M84" t="s">
        <v>458</v>
      </c>
    </row>
    <row r="85" spans="1:13" x14ac:dyDescent="0.3">
      <c r="A85">
        <v>84</v>
      </c>
      <c r="B85">
        <v>255811</v>
      </c>
      <c r="C85" t="s">
        <v>472</v>
      </c>
      <c r="D85" t="s">
        <v>473</v>
      </c>
      <c r="E85">
        <v>21</v>
      </c>
      <c r="F85">
        <v>8</v>
      </c>
      <c r="G85">
        <v>1</v>
      </c>
      <c r="H85">
        <v>30</v>
      </c>
      <c r="I85" t="s">
        <v>23</v>
      </c>
      <c r="J85" s="112">
        <v>46371</v>
      </c>
      <c r="K85" s="112">
        <v>46378</v>
      </c>
      <c r="L85" t="s">
        <v>321</v>
      </c>
      <c r="M85" t="s">
        <v>454</v>
      </c>
    </row>
    <row r="86" spans="1:13" x14ac:dyDescent="0.3">
      <c r="A86">
        <v>85</v>
      </c>
      <c r="B86">
        <v>255970</v>
      </c>
      <c r="C86" t="s">
        <v>474</v>
      </c>
      <c r="D86" t="s">
        <v>475</v>
      </c>
      <c r="E86">
        <v>27</v>
      </c>
      <c r="F86">
        <v>2</v>
      </c>
      <c r="G86">
        <v>1</v>
      </c>
      <c r="H86">
        <v>30</v>
      </c>
      <c r="I86" t="s">
        <v>23</v>
      </c>
      <c r="J86" s="112">
        <v>46371</v>
      </c>
      <c r="K86" s="112">
        <v>46378</v>
      </c>
      <c r="L86" t="s">
        <v>321</v>
      </c>
      <c r="M86" t="s">
        <v>454</v>
      </c>
    </row>
    <row r="87" spans="1:13" x14ac:dyDescent="0.3">
      <c r="A87">
        <v>86</v>
      </c>
      <c r="B87">
        <v>256076</v>
      </c>
      <c r="C87" t="s">
        <v>474</v>
      </c>
      <c r="D87" t="s">
        <v>476</v>
      </c>
      <c r="E87">
        <v>20</v>
      </c>
      <c r="F87">
        <v>1</v>
      </c>
      <c r="G87">
        <v>1</v>
      </c>
      <c r="H87">
        <v>22</v>
      </c>
      <c r="I87" t="s">
        <v>23</v>
      </c>
      <c r="J87" s="112">
        <v>46371</v>
      </c>
      <c r="K87" s="112">
        <v>46378</v>
      </c>
      <c r="L87" t="s">
        <v>321</v>
      </c>
      <c r="M87" t="s">
        <v>454</v>
      </c>
    </row>
    <row r="88" spans="1:13" x14ac:dyDescent="0.3">
      <c r="A88">
        <v>87</v>
      </c>
      <c r="B88">
        <v>256256</v>
      </c>
      <c r="C88" t="s">
        <v>436</v>
      </c>
      <c r="D88" t="s">
        <v>477</v>
      </c>
      <c r="E88">
        <v>65</v>
      </c>
      <c r="F88">
        <v>5</v>
      </c>
      <c r="G88">
        <v>3</v>
      </c>
      <c r="H88">
        <v>73</v>
      </c>
      <c r="I88" t="s">
        <v>35</v>
      </c>
      <c r="J88" s="112">
        <v>46371</v>
      </c>
      <c r="K88" s="112">
        <v>46378</v>
      </c>
      <c r="L88" t="s">
        <v>321</v>
      </c>
      <c r="M88" t="s">
        <v>454</v>
      </c>
    </row>
    <row r="89" spans="1:13" x14ac:dyDescent="0.3">
      <c r="A89">
        <v>88</v>
      </c>
      <c r="B89">
        <v>256659</v>
      </c>
      <c r="C89" t="s">
        <v>478</v>
      </c>
      <c r="D89" t="s">
        <v>479</v>
      </c>
      <c r="E89">
        <v>21</v>
      </c>
      <c r="F89">
        <v>2</v>
      </c>
      <c r="G89">
        <v>1</v>
      </c>
      <c r="H89">
        <v>24</v>
      </c>
      <c r="I89" t="s">
        <v>23</v>
      </c>
      <c r="J89" s="112">
        <v>46371</v>
      </c>
      <c r="K89" s="112">
        <v>46378</v>
      </c>
      <c r="L89" t="s">
        <v>321</v>
      </c>
      <c r="M89" t="s">
        <v>454</v>
      </c>
    </row>
    <row r="90" spans="1:13" x14ac:dyDescent="0.3">
      <c r="A90">
        <v>89</v>
      </c>
      <c r="B90">
        <v>257304</v>
      </c>
      <c r="C90" t="s">
        <v>480</v>
      </c>
      <c r="D90" t="s">
        <v>481</v>
      </c>
      <c r="E90">
        <v>16</v>
      </c>
      <c r="F90">
        <v>1</v>
      </c>
      <c r="G90">
        <v>0</v>
      </c>
      <c r="H90">
        <v>17</v>
      </c>
      <c r="I90" t="s">
        <v>23</v>
      </c>
      <c r="J90" s="112">
        <v>46371</v>
      </c>
      <c r="K90" s="112">
        <v>46378</v>
      </c>
      <c r="L90" t="s">
        <v>321</v>
      </c>
      <c r="M90" t="s">
        <v>362</v>
      </c>
    </row>
    <row r="91" spans="1:13" x14ac:dyDescent="0.3">
      <c r="A91">
        <v>90</v>
      </c>
      <c r="B91">
        <v>257643</v>
      </c>
      <c r="C91" t="s">
        <v>482</v>
      </c>
      <c r="D91" t="s">
        <v>483</v>
      </c>
      <c r="E91">
        <v>33</v>
      </c>
      <c r="F91">
        <v>3</v>
      </c>
      <c r="G91">
        <v>0</v>
      </c>
      <c r="H91">
        <v>36</v>
      </c>
      <c r="I91" t="s">
        <v>23</v>
      </c>
      <c r="J91" s="112">
        <v>46371</v>
      </c>
      <c r="K91" s="112">
        <v>46378</v>
      </c>
      <c r="L91" t="s">
        <v>321</v>
      </c>
      <c r="M91" t="s">
        <v>362</v>
      </c>
    </row>
    <row r="92" spans="1:13" x14ac:dyDescent="0.3">
      <c r="A92">
        <v>91</v>
      </c>
      <c r="B92">
        <v>258340</v>
      </c>
      <c r="C92" t="s">
        <v>484</v>
      </c>
      <c r="D92" t="s">
        <v>356</v>
      </c>
      <c r="E92">
        <v>28</v>
      </c>
      <c r="F92">
        <v>3</v>
      </c>
      <c r="G92">
        <v>0</v>
      </c>
      <c r="H92">
        <v>31</v>
      </c>
      <c r="I92" t="s">
        <v>23</v>
      </c>
      <c r="J92" s="112">
        <v>46371</v>
      </c>
      <c r="K92" s="112">
        <v>46378</v>
      </c>
      <c r="L92" t="s">
        <v>321</v>
      </c>
      <c r="M92" t="s">
        <v>458</v>
      </c>
    </row>
    <row r="93" spans="1:13" x14ac:dyDescent="0.3">
      <c r="A93">
        <v>92</v>
      </c>
      <c r="B93">
        <v>258859</v>
      </c>
      <c r="C93" t="s">
        <v>485</v>
      </c>
      <c r="D93" t="s">
        <v>486</v>
      </c>
      <c r="E93">
        <v>12</v>
      </c>
      <c r="F93">
        <v>2</v>
      </c>
      <c r="G93">
        <v>1</v>
      </c>
      <c r="H93">
        <v>15</v>
      </c>
      <c r="I93" t="s">
        <v>35</v>
      </c>
      <c r="J93" s="112">
        <v>46371</v>
      </c>
      <c r="K93" s="112">
        <v>46378</v>
      </c>
      <c r="L93" t="s">
        <v>321</v>
      </c>
      <c r="M93" t="s">
        <v>431</v>
      </c>
    </row>
    <row r="94" spans="1:13" x14ac:dyDescent="0.3">
      <c r="A94">
        <v>93</v>
      </c>
      <c r="B94">
        <v>259391</v>
      </c>
      <c r="C94" t="s">
        <v>487</v>
      </c>
      <c r="D94" t="s">
        <v>488</v>
      </c>
      <c r="E94">
        <v>21</v>
      </c>
      <c r="F94">
        <v>3</v>
      </c>
      <c r="G94">
        <v>1</v>
      </c>
      <c r="H94">
        <v>25</v>
      </c>
      <c r="I94" t="s">
        <v>35</v>
      </c>
      <c r="J94" s="112">
        <v>46371</v>
      </c>
      <c r="K94" s="112">
        <v>46378</v>
      </c>
      <c r="L94" t="s">
        <v>321</v>
      </c>
      <c r="M94" t="s">
        <v>431</v>
      </c>
    </row>
    <row r="95" spans="1:13" x14ac:dyDescent="0.3">
      <c r="A95">
        <v>94</v>
      </c>
      <c r="B95">
        <v>259758</v>
      </c>
      <c r="C95" t="s">
        <v>489</v>
      </c>
      <c r="D95" t="s">
        <v>356</v>
      </c>
      <c r="E95">
        <v>3</v>
      </c>
      <c r="G95">
        <v>1</v>
      </c>
      <c r="H95">
        <v>4</v>
      </c>
      <c r="I95" t="s">
        <v>105</v>
      </c>
      <c r="J95" s="112">
        <v>46371</v>
      </c>
      <c r="K95" s="112">
        <v>46378</v>
      </c>
      <c r="L95" t="s">
        <v>105</v>
      </c>
      <c r="M95" t="s">
        <v>362</v>
      </c>
    </row>
    <row r="96" spans="1:13" x14ac:dyDescent="0.3">
      <c r="A96">
        <v>95</v>
      </c>
      <c r="B96">
        <v>251911</v>
      </c>
      <c r="C96" t="s">
        <v>490</v>
      </c>
      <c r="D96" t="s">
        <v>378</v>
      </c>
      <c r="E96">
        <v>28</v>
      </c>
      <c r="F96">
        <v>0</v>
      </c>
      <c r="G96">
        <v>2</v>
      </c>
      <c r="H96">
        <v>30</v>
      </c>
      <c r="I96" t="s">
        <v>11</v>
      </c>
      <c r="J96" s="112">
        <v>46371</v>
      </c>
      <c r="K96" s="112">
        <v>46378</v>
      </c>
      <c r="L96" t="s">
        <v>491</v>
      </c>
      <c r="M96" t="s">
        <v>458</v>
      </c>
    </row>
    <row r="97" spans="1:13" x14ac:dyDescent="0.3">
      <c r="A97">
        <v>96</v>
      </c>
      <c r="B97">
        <v>251912</v>
      </c>
      <c r="C97" t="s">
        <v>490</v>
      </c>
      <c r="D97" t="s">
        <v>346</v>
      </c>
      <c r="E97">
        <v>36</v>
      </c>
      <c r="F97">
        <v>0</v>
      </c>
      <c r="G97">
        <v>2</v>
      </c>
      <c r="H97">
        <v>38</v>
      </c>
      <c r="I97" t="s">
        <v>11</v>
      </c>
      <c r="J97" s="112">
        <v>46371</v>
      </c>
      <c r="K97" s="112">
        <v>46378</v>
      </c>
      <c r="L97" t="s">
        <v>491</v>
      </c>
      <c r="M97" t="s">
        <v>458</v>
      </c>
    </row>
    <row r="98" spans="1:13" x14ac:dyDescent="0.3">
      <c r="A98">
        <v>97</v>
      </c>
      <c r="B98">
        <v>251751</v>
      </c>
      <c r="C98" t="s">
        <v>492</v>
      </c>
      <c r="D98" t="s">
        <v>493</v>
      </c>
      <c r="E98">
        <v>28</v>
      </c>
      <c r="F98">
        <v>6</v>
      </c>
      <c r="G98">
        <v>0</v>
      </c>
      <c r="H98">
        <v>34</v>
      </c>
      <c r="I98" t="s">
        <v>13</v>
      </c>
      <c r="J98" s="112">
        <v>46390</v>
      </c>
      <c r="K98" s="112">
        <v>46397</v>
      </c>
      <c r="M98" t="s">
        <v>494</v>
      </c>
    </row>
    <row r="99" spans="1:13" x14ac:dyDescent="0.3">
      <c r="A99">
        <v>98</v>
      </c>
      <c r="B99">
        <v>260435</v>
      </c>
      <c r="C99" t="s">
        <v>495</v>
      </c>
      <c r="D99" t="s">
        <v>496</v>
      </c>
      <c r="E99">
        <v>21</v>
      </c>
      <c r="F99">
        <v>11</v>
      </c>
      <c r="G99">
        <v>1</v>
      </c>
      <c r="H99">
        <v>33</v>
      </c>
      <c r="I99" t="s">
        <v>13</v>
      </c>
      <c r="J99" s="112">
        <v>46398</v>
      </c>
      <c r="K99" s="112">
        <v>46408</v>
      </c>
      <c r="L99" t="s">
        <v>105</v>
      </c>
      <c r="M99" t="s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5 COMIDA</vt:lpstr>
      <vt:lpstr>PROGRAMACION 17-09</vt:lpstr>
      <vt:lpstr>PROGRAMACION 19-11</vt:lpstr>
      <vt:lpstr>PROGRAMACION 24-11</vt:lpstr>
      <vt:lpstr>PROGRAMACION 01-12</vt:lpstr>
      <vt:lpstr>PROGRAMACION 03-12</vt:lpstr>
      <vt:lpstr>PROGRAMACION 08-12</vt:lpstr>
      <vt:lpstr>PROGRAMACION 15-12</vt:lpstr>
      <vt:lpstr>PROGRAMACION SIN MARCACION</vt:lpstr>
      <vt:lpstr>Cristo Luz </vt:lpstr>
      <vt:lpstr>Barco</vt:lpstr>
      <vt:lpstr>Beto Carrero</vt:lpstr>
      <vt:lpstr>Cascata Carolina</vt:lpstr>
      <vt:lpstr>Multiparque</vt:lpstr>
      <vt:lpstr>Panam Sport</vt:lpstr>
      <vt:lpstr>Rueda</vt:lpstr>
      <vt:lpstr>Teleferico</vt:lpstr>
      <vt:lpstr>Zacarias</vt:lpstr>
      <vt:lpstr>COLEGIOS 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Tudo Bem</cp:lastModifiedBy>
  <cp:lastPrinted>2025-11-04T21:22:34Z</cp:lastPrinted>
  <dcterms:created xsi:type="dcterms:W3CDTF">2025-07-21T21:21:25Z</dcterms:created>
  <dcterms:modified xsi:type="dcterms:W3CDTF">2026-10-01T19:00:02Z</dcterms:modified>
</cp:coreProperties>
</file>